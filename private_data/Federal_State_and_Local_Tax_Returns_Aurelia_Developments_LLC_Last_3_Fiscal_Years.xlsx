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rp_Tax_Summary" sheetId="1" state="visible" r:id="rId1"/>
    <sheet xmlns:r="http://schemas.openxmlformats.org/officeDocument/2006/relationships" name="2_Taxable_Income_Calc" sheetId="2" state="visible" r:id="rId2"/>
    <sheet xmlns:r="http://schemas.openxmlformats.org/officeDocument/2006/relationships" name="3_VAT_Summary" sheetId="3" state="visible" r:id="rId3"/>
    <sheet xmlns:r="http://schemas.openxmlformats.org/officeDocument/2006/relationships" name="4_VAT_by_Project" sheetId="4" state="visible" r:id="rId4"/>
    <sheet xmlns:r="http://schemas.openxmlformats.org/officeDocument/2006/relationships" name="5_RE_Transaction_Taxes" sheetId="5" state="visible" r:id="rId5"/>
    <sheet xmlns:r="http://schemas.openxmlformats.org/officeDocument/2006/relationships" name="6_Deferred_Tax" sheetId="6" state="visible" r:id="rId6"/>
    <sheet xmlns:r="http://schemas.openxmlformats.org/officeDocument/2006/relationships" name="7_Tax_Payments" sheetId="7" state="visible" r:id="rId7"/>
    <sheet xmlns:r="http://schemas.openxmlformats.org/officeDocument/2006/relationships" name="8_Tax_Risk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AED&quot; #,##0.0;[Red](&quot;AED&quot; #,##0.0);-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color rgb="001F1F1F"/>
      <sz val="11"/>
    </font>
    <font>
      <b val="1"/>
      <color rgb="00FFFFFF"/>
    </font>
    <font>
      <b val="1"/>
    </font>
    <font>
      <b val="1"/>
      <sz val="14"/>
    </font>
    <font/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/>
    </xf>
    <xf numFmtId="0" fontId="3" fillId="2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Taxable Income vs Tax Payable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'1_Corp_Tax_Summary'!C4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'1_Corp_Tax_Summary'!$A$5:$A$7</f>
            </numRef>
          </cat>
          <val>
            <numRef>
              <f>'1_Corp_Tax_Summary'!$C$5:$C$7</f>
            </numRef>
          </val>
        </ser>
        <ser>
          <idx val="1"/>
          <order val="1"/>
          <tx>
            <strRef>
              <f>'1_Corp_Tax_Summary'!D4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'1_Corp_Tax_Summary'!$A$5:$A$7</f>
            </numRef>
          </cat>
          <val>
            <numRef>
              <f>'1_Corp_Tax_Summary'!$D$5:$D$7</f>
            </numRef>
          </val>
        </ser>
        <ser>
          <idx val="2"/>
          <order val="2"/>
          <tx>
            <strRef>
              <f>'1_Corp_Tax_Summary'!E4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'1_Corp_Tax_Summary'!$A$5:$A$7</f>
            </numRef>
          </cat>
          <val>
            <numRef>
              <f>'1_Corp_Tax_Summary'!$E$5:$E$7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AED 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Illustrative schedule prepared from user-provided company context and standard UAE real-estate tax diligence assumptions. This is not an actual filed return.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Illustrative schedule prepared from user-provided company context and standard UAE real-estate tax diligence assumptions. This is not an actual filed return.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Illustrative schedule prepared from user-provided company context and standard UAE real-estate tax diligence assumptions. This is not an actual filed return.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Illustrative schedule prepared from user-provided company context and standard UAE real-estate tax diligence assumptions. This is not an actual filed return.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Illustrative schedule prepared from user-provided company context and standard UAE real-estate tax diligence assumptions. This is not an actual filed return.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Illustrative schedule prepared from user-provided company context and standard UAE real-estate tax diligence assumptions. This is not an actual filed return.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Illustrative schedule prepared from user-provided company context and standard UAE real-estate tax diligence assumptions. This is not an actual filed return.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" authorId="0" shapeId="0">
      <text>
        <t>Illustrative schedule prepared from user-provided company context and standard UAE real-estate tax diligence assumptions. This is not an actual filed return.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Federal, State, and Local Tax Returns – Aurelia Developments LLC</t>
        </is>
      </c>
    </row>
    <row r="2">
      <c r="A2" s="2" t="inlineStr">
        <is>
          <t>Corporate Tax Summary (Illustrative)</t>
        </is>
      </c>
    </row>
    <row r="3"/>
    <row r="4">
      <c r="A4" s="3" t="inlineStr">
        <is>
          <t>Fiscal Year</t>
        </is>
      </c>
      <c r="B4" s="3" t="inlineStr">
        <is>
          <t>Accounting Profit</t>
        </is>
      </c>
      <c r="C4" s="3" t="inlineStr">
        <is>
          <t>Taxable Income</t>
        </is>
      </c>
      <c r="D4" s="3" t="inlineStr">
        <is>
          <t>Tax Rate</t>
        </is>
      </c>
      <c r="E4" s="3" t="inlineStr">
        <is>
          <t>Tax Payable</t>
        </is>
      </c>
    </row>
    <row r="5">
      <c r="A5" s="4" t="inlineStr">
        <is>
          <t>FY2021</t>
        </is>
      </c>
      <c r="B5" s="5" t="n">
        <v>32.4</v>
      </c>
      <c r="C5" s="5" t="n">
        <v>18</v>
      </c>
      <c r="D5" s="6" t="n">
        <v>0</v>
      </c>
      <c r="E5" s="5" t="n">
        <v>0</v>
      </c>
    </row>
    <row r="6">
      <c r="A6" s="4" t="inlineStr">
        <is>
          <t>FY2022</t>
        </is>
      </c>
      <c r="B6" s="5" t="n">
        <v>58.9</v>
      </c>
      <c r="C6" s="5" t="n">
        <v>42.5</v>
      </c>
      <c r="D6" s="6" t="n">
        <v>0</v>
      </c>
      <c r="E6" s="5" t="n">
        <v>0</v>
      </c>
    </row>
    <row r="7">
      <c r="A7" s="4" t="inlineStr">
        <is>
          <t>FY2023</t>
        </is>
      </c>
      <c r="B7" s="5" t="n">
        <v>112.6</v>
      </c>
      <c r="C7" s="5" t="n">
        <v>96</v>
      </c>
      <c r="D7" s="6" t="n">
        <v>0.09</v>
      </c>
      <c r="E7" s="5" t="n">
        <v>8.640000000000001</v>
      </c>
    </row>
    <row r="8"/>
    <row r="9">
      <c r="A9" s="7" t="inlineStr">
        <is>
          <t>3-Year Total / Average</t>
        </is>
      </c>
      <c r="B9" s="8">
        <f>SUM(B5:B7)</f>
        <v/>
      </c>
      <c r="C9" s="8">
        <f>SUM(C5:C7)</f>
        <v/>
      </c>
      <c r="D9" s="9">
        <f>AVERAGE(D5:D7)</f>
        <v/>
      </c>
      <c r="E9" s="8">
        <f>SUM(E5:E7)</f>
        <v/>
      </c>
    </row>
    <row r="10"/>
    <row r="11">
      <c r="A11" s="10" t="inlineStr">
        <is>
          <t>Key observations</t>
        </is>
      </c>
    </row>
    <row r="12">
      <c r="A12" s="11" t="inlineStr">
        <is>
          <t>FY2021–FY2022 reflect a pre/full-transition UAE corporate tax environment; current tax payable is assumed nil while management still maintains taxable income bridges and readiness documentation.</t>
        </is>
      </c>
    </row>
    <row r="13">
      <c r="A13" s="11" t="inlineStr">
        <is>
          <t>FY2023 reflects operational corporate tax computation with 9.0% applied to illustrative taxable income after adjustments.</t>
        </is>
      </c>
    </row>
    <row r="14">
      <c r="A14" s="11" t="inlineStr">
        <is>
          <t>All figures in this workbook are illustrative management schedules prepared for diligence-style review, not actual filed returns.</t>
        </is>
      </c>
    </row>
  </sheetData>
  <mergeCells count="5">
    <mergeCell ref="A12:E12"/>
    <mergeCell ref="A2:E2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</cols>
  <sheetData>
    <row r="1">
      <c r="A1" s="12" t="inlineStr">
        <is>
          <t>Taxable Income Calculation Bridge</t>
        </is>
      </c>
    </row>
    <row r="2"/>
    <row r="3">
      <c r="A3" s="3" t="inlineStr">
        <is>
          <t>Adjustment Category</t>
        </is>
      </c>
      <c r="B3" s="3" t="inlineStr">
        <is>
          <t>FY2021</t>
        </is>
      </c>
      <c r="C3" s="3" t="inlineStr">
        <is>
          <t>FY2022</t>
        </is>
      </c>
      <c r="D3" s="3" t="inlineStr">
        <is>
          <t>FY2023</t>
        </is>
      </c>
    </row>
    <row r="4">
      <c r="A4" s="13" t="inlineStr">
        <is>
          <t>Accounting Profit</t>
        </is>
      </c>
      <c r="B4" s="5" t="n">
        <v>32.4</v>
      </c>
      <c r="C4" s="5" t="n">
        <v>58.9</v>
      </c>
      <c r="D4" s="5" t="n">
        <v>112.6</v>
      </c>
    </row>
    <row r="5">
      <c r="A5" s="13" t="inlineStr">
        <is>
          <t>Add: Non-deductible expenses</t>
        </is>
      </c>
      <c r="B5" s="5" t="n">
        <v>6.1</v>
      </c>
      <c r="C5" s="5" t="n">
        <v>8.199999999999999</v>
      </c>
      <c r="D5" s="5" t="n">
        <v>11.4</v>
      </c>
    </row>
    <row r="6">
      <c r="A6" s="13" t="inlineStr">
        <is>
          <t>Less: Capitalization / timing adjustments</t>
        </is>
      </c>
      <c r="B6" s="5" t="n">
        <v>-7.8</v>
      </c>
      <c r="C6" s="5" t="n">
        <v>-10.4</v>
      </c>
      <c r="D6" s="5" t="n">
        <v>-14.7</v>
      </c>
    </row>
    <row r="7">
      <c r="A7" s="13" t="inlineStr">
        <is>
          <t>Other tax adjustments</t>
        </is>
      </c>
      <c r="B7" s="5" t="n">
        <v>-12.7</v>
      </c>
      <c r="C7" s="5" t="n">
        <v>-14.2</v>
      </c>
      <c r="D7" s="5" t="n">
        <v>-13.3</v>
      </c>
    </row>
    <row r="8">
      <c r="A8" s="7" t="inlineStr">
        <is>
          <t>Taxable Income</t>
        </is>
      </c>
      <c r="B8" s="14" t="n">
        <v>18</v>
      </c>
      <c r="C8" s="14" t="n">
        <v>42.5</v>
      </c>
      <c r="D8" s="14" t="n">
        <v>96</v>
      </c>
    </row>
    <row r="9"/>
    <row r="10"/>
    <row r="11">
      <c r="A11" s="10" t="inlineStr">
        <is>
          <t>Illustrative adjustment notes</t>
        </is>
      </c>
    </row>
    <row r="12">
      <c r="A12" s="11" t="inlineStr">
        <is>
          <t>Non-deductible expenses primarily include entertainment, fines and penalties, selected shareholder/promoter costs, and non-qualifying provisions.</t>
        </is>
      </c>
    </row>
    <row r="13">
      <c r="A13" s="11" t="inlineStr">
        <is>
          <t>Capitalization / timing adjustments reflect differences between accounting recognition and tax deductibility timing for project-related expenditures and financing costs.</t>
        </is>
      </c>
    </row>
    <row r="14">
      <c r="A14" s="11" t="inlineStr">
        <is>
          <t>Other tax adjustments include exempt income assumptions, entity-level true-ups, and additional book-to-tax bridge items needed to align with an illustrative tax basis.</t>
        </is>
      </c>
    </row>
  </sheetData>
  <mergeCells count="3">
    <mergeCell ref="A12:D12"/>
    <mergeCell ref="A13:D13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>
      <c r="A1" s="12" t="inlineStr">
        <is>
          <t>VAT Summary</t>
        </is>
      </c>
    </row>
    <row r="2"/>
    <row r="3">
      <c r="A3" s="15" t="inlineStr">
        <is>
          <t>Year</t>
        </is>
      </c>
      <c r="B3" s="15" t="inlineStr">
        <is>
          <t>Output VAT</t>
        </is>
      </c>
      <c r="C3" s="15" t="inlineStr">
        <is>
          <t>Input VAT</t>
        </is>
      </c>
      <c r="D3" s="15" t="inlineStr">
        <is>
          <t>Net VAT Payable / (Refund)</t>
        </is>
      </c>
    </row>
    <row r="4">
      <c r="A4" s="4" t="inlineStr">
        <is>
          <t>FY2021</t>
        </is>
      </c>
      <c r="B4" s="5" t="n">
        <v>11.3</v>
      </c>
      <c r="C4" s="5" t="n">
        <v>17.7</v>
      </c>
      <c r="D4" s="5" t="n">
        <v>-6.399999999999999</v>
      </c>
    </row>
    <row r="5">
      <c r="A5" s="4" t="inlineStr">
        <is>
          <t>FY2022</t>
        </is>
      </c>
      <c r="B5" s="5" t="n">
        <v>18.7</v>
      </c>
      <c r="C5" s="5" t="n">
        <v>20.8</v>
      </c>
      <c r="D5" s="5" t="n">
        <v>-2.100000000000001</v>
      </c>
    </row>
    <row r="6">
      <c r="A6" s="4" t="inlineStr">
        <is>
          <t>FY2023</t>
        </is>
      </c>
      <c r="B6" s="5" t="n">
        <v>44.2</v>
      </c>
      <c r="C6" s="5" t="n">
        <v>39.4</v>
      </c>
      <c r="D6" s="5" t="n">
        <v>4.800000000000004</v>
      </c>
    </row>
    <row r="7"/>
    <row r="8"/>
    <row r="9">
      <c r="A9" s="10" t="inlineStr">
        <is>
          <t>VAT compliance commentary</t>
        </is>
      </c>
    </row>
    <row r="10">
      <c r="A10" s="11" t="inlineStr">
        <is>
          <t>FY2021 and FY2022 are assumed net refund / recovery years because project construction spend and consultant fees exceeded output VAT from taxable handovers and commercial income.</t>
        </is>
      </c>
    </row>
    <row r="11">
      <c r="A11" s="11" t="inlineStr">
        <is>
          <t>FY2023 turns net payable as completed handovers and taxable commercial components increase output VAT.</t>
        </is>
      </c>
    </row>
  </sheetData>
  <mergeCells count="2">
    <mergeCell ref="A10:D10"/>
    <mergeCell ref="A11:D1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4" customWidth="1" min="4" max="4"/>
    <col width="16" customWidth="1" min="5" max="5"/>
  </cols>
  <sheetData>
    <row r="1">
      <c r="A1" s="12" t="inlineStr">
        <is>
          <t>VAT by Project</t>
        </is>
      </c>
    </row>
    <row r="2"/>
    <row r="3">
      <c r="A3" s="15" t="inlineStr">
        <is>
          <t>Development Project</t>
        </is>
      </c>
      <c r="B3" s="15" t="inlineStr">
        <is>
          <t>Taxable Revenue FY2023</t>
        </is>
      </c>
      <c r="C3" s="15" t="inlineStr">
        <is>
          <t>VAT Collected</t>
        </is>
      </c>
      <c r="D3" s="15" t="inlineStr">
        <is>
          <t>VAT Paid</t>
        </is>
      </c>
      <c r="E3" s="15" t="inlineStr">
        <is>
          <t>Net VAT Position</t>
        </is>
      </c>
    </row>
    <row r="4">
      <c r="A4" s="13" t="inlineStr">
        <is>
          <t>Marina Residences Tower</t>
        </is>
      </c>
      <c r="B4" s="5" t="n">
        <v>420</v>
      </c>
      <c r="C4" s="5" t="n">
        <v>21</v>
      </c>
      <c r="D4" s="5" t="n">
        <v>14.8</v>
      </c>
      <c r="E4" s="5" t="n">
        <v>6.199999999999999</v>
      </c>
    </row>
    <row r="5">
      <c r="A5" s="13" t="inlineStr">
        <is>
          <t>Palm Waterfront Villas</t>
        </is>
      </c>
      <c r="B5" s="5" t="n">
        <v>285</v>
      </c>
      <c r="C5" s="5" t="n">
        <v>14.25</v>
      </c>
      <c r="D5" s="5" t="n">
        <v>12.1</v>
      </c>
      <c r="E5" s="5" t="n">
        <v>2.15</v>
      </c>
    </row>
    <row r="6">
      <c r="A6" s="13" t="inlineStr">
        <is>
          <t>Downtown Branded Residences</t>
        </is>
      </c>
      <c r="B6" s="5" t="n">
        <v>365</v>
      </c>
      <c r="C6" s="5" t="n">
        <v>18.25</v>
      </c>
      <c r="D6" s="5" t="n">
        <v>8.6</v>
      </c>
      <c r="E6" s="5" t="n">
        <v>9.65</v>
      </c>
    </row>
    <row r="7">
      <c r="A7" s="13" t="inlineStr">
        <is>
          <t>Jumeirah Mixed-Use Development</t>
        </is>
      </c>
      <c r="B7" s="5" t="n">
        <v>250</v>
      </c>
      <c r="C7" s="5" t="n">
        <v>12.5</v>
      </c>
      <c r="D7" s="5" t="n">
        <v>3.9</v>
      </c>
      <c r="E7" s="5" t="n">
        <v>8.6</v>
      </c>
    </row>
    <row r="8"/>
    <row r="9">
      <c r="A9" s="7" t="inlineStr">
        <is>
          <t>Total</t>
        </is>
      </c>
      <c r="B9" s="16">
        <f>SUM(B4:B7)</f>
        <v/>
      </c>
      <c r="C9" s="16">
        <f>SUM(C4:C7)</f>
        <v/>
      </c>
      <c r="D9" s="16">
        <f>SUM(D4:D7)</f>
        <v/>
      </c>
      <c r="E9" s="16">
        <f>SUM(E4:E7)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6" customWidth="1" min="4" max="4"/>
    <col width="20" customWidth="1" min="5" max="5"/>
    <col width="18" customWidth="1" min="6" max="6"/>
  </cols>
  <sheetData>
    <row r="1">
      <c r="A1" s="12" t="inlineStr">
        <is>
          <t>Real Estate Transaction Taxes and Fees</t>
        </is>
      </c>
    </row>
    <row r="2"/>
    <row r="3">
      <c r="A3" s="15" t="inlineStr">
        <is>
          <t>Project</t>
        </is>
      </c>
      <c r="B3" s="15" t="inlineStr">
        <is>
          <t>Land Acquisition Cost</t>
        </is>
      </c>
      <c r="C3" s="15" t="inlineStr">
        <is>
          <t>Transfer Fees</t>
        </is>
      </c>
      <c r="D3" s="15" t="inlineStr">
        <is>
          <t>Registration Fees</t>
        </is>
      </c>
      <c r="E3" s="15" t="inlineStr">
        <is>
          <t>Development / Permit Fees</t>
        </is>
      </c>
      <c r="F3" s="15" t="inlineStr">
        <is>
          <t>Total Statutory Charges</t>
        </is>
      </c>
    </row>
    <row r="4">
      <c r="A4" s="13" t="inlineStr">
        <is>
          <t>Marina Residences Tower</t>
        </is>
      </c>
      <c r="B4" s="5" t="n">
        <v>280</v>
      </c>
      <c r="C4" s="5" t="n">
        <v>11.2</v>
      </c>
      <c r="D4" s="5" t="n">
        <v>3.1</v>
      </c>
      <c r="E4" s="5" t="n">
        <v>4.8</v>
      </c>
      <c r="F4" s="5" t="n">
        <v>19.1</v>
      </c>
    </row>
    <row r="5">
      <c r="A5" s="13" t="inlineStr">
        <is>
          <t>Palm Waterfront Villas</t>
        </is>
      </c>
      <c r="B5" s="5" t="n">
        <v>360</v>
      </c>
      <c r="C5" s="5" t="n">
        <v>14.4</v>
      </c>
      <c r="D5" s="5" t="n">
        <v>3.8</v>
      </c>
      <c r="E5" s="5" t="n">
        <v>5.3</v>
      </c>
      <c r="F5" s="5" t="n">
        <v>23.5</v>
      </c>
    </row>
    <row r="6">
      <c r="A6" s="13" t="inlineStr">
        <is>
          <t>Downtown Branded Residences</t>
        </is>
      </c>
      <c r="B6" s="5" t="n">
        <v>410</v>
      </c>
      <c r="C6" s="5" t="n">
        <v>16.4</v>
      </c>
      <c r="D6" s="5" t="n">
        <v>4.9</v>
      </c>
      <c r="E6" s="5" t="n">
        <v>6.1</v>
      </c>
      <c r="F6" s="5" t="n">
        <v>27.4</v>
      </c>
    </row>
    <row r="7">
      <c r="A7" s="13" t="inlineStr">
        <is>
          <t>Jumeirah Mixed-Use Development</t>
        </is>
      </c>
      <c r="B7" s="5" t="n">
        <v>190</v>
      </c>
      <c r="C7" s="5" t="n">
        <v>7.6</v>
      </c>
      <c r="D7" s="5" t="n">
        <v>2.2</v>
      </c>
      <c r="E7" s="5" t="n">
        <v>3.4</v>
      </c>
      <c r="F7" s="5" t="n">
        <v>13.2</v>
      </c>
    </row>
    <row r="8"/>
    <row r="9">
      <c r="A9" s="7" t="inlineStr">
        <is>
          <t>Total</t>
        </is>
      </c>
      <c r="B9" s="16">
        <f>SUM(B4:B7)</f>
        <v/>
      </c>
      <c r="C9" s="16">
        <f>SUM(C4:C7)</f>
        <v/>
      </c>
      <c r="D9" s="16">
        <f>SUM(D4:D7)</f>
        <v/>
      </c>
      <c r="E9" s="16">
        <f>SUM(E4:E7)</f>
        <v/>
      </c>
      <c r="F9" s="16">
        <f>SUM(F4:F7)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2" t="inlineStr">
        <is>
          <t>Deferred Tax Schedule</t>
        </is>
      </c>
    </row>
    <row r="2"/>
    <row r="3">
      <c r="A3" s="15" t="inlineStr">
        <is>
          <t>Tax Asset / Liability</t>
        </is>
      </c>
      <c r="B3" s="15" t="inlineStr">
        <is>
          <t>FY2021</t>
        </is>
      </c>
      <c r="C3" s="15" t="inlineStr">
        <is>
          <t>FY2022</t>
        </is>
      </c>
      <c r="D3" s="15" t="inlineStr">
        <is>
          <t>FY2023</t>
        </is>
      </c>
    </row>
    <row r="4">
      <c r="A4" s="17" t="inlineStr">
        <is>
          <t>Provision timing differences</t>
        </is>
      </c>
      <c r="B4" s="5" t="n">
        <v>0.9</v>
      </c>
      <c r="C4" s="5" t="n">
        <v>1.6</v>
      </c>
      <c r="D4" s="5" t="n">
        <v>2.2</v>
      </c>
    </row>
    <row r="5">
      <c r="A5" s="17" t="inlineStr">
        <is>
          <t>Financing cost timing differences</t>
        </is>
      </c>
      <c r="B5" s="5" t="n">
        <v>-0.4</v>
      </c>
      <c r="C5" s="5" t="n">
        <v>-0.7</v>
      </c>
      <c r="D5" s="5" t="n">
        <v>-1</v>
      </c>
    </row>
    <row r="6">
      <c r="A6" s="17" t="inlineStr">
        <is>
          <t>Capitalization differences</t>
        </is>
      </c>
      <c r="B6" s="5" t="n">
        <v>0.7</v>
      </c>
      <c r="C6" s="5" t="n">
        <v>1.9</v>
      </c>
      <c r="D6" s="5" t="n">
        <v>3.1</v>
      </c>
    </row>
    <row r="7">
      <c r="A7" s="17" t="inlineStr">
        <is>
          <t>Tax loss carryforward DTA</t>
        </is>
      </c>
      <c r="B7" s="5" t="n">
        <v>0.2</v>
      </c>
      <c r="C7" s="5" t="n">
        <v>0.3</v>
      </c>
      <c r="D7" s="5" t="n">
        <v>1.3</v>
      </c>
    </row>
    <row r="8">
      <c r="A8" s="7" t="inlineStr">
        <is>
          <t>Net deferred tax position</t>
        </is>
      </c>
      <c r="B8" s="14" t="n">
        <v>1.4</v>
      </c>
      <c r="C8" s="14" t="n">
        <v>3.1</v>
      </c>
      <c r="D8" s="14" t="n">
        <v>5.6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28" customWidth="1" min="5" max="5"/>
  </cols>
  <sheetData>
    <row r="1">
      <c r="A1" s="12" t="inlineStr">
        <is>
          <t>Tax Payments Register</t>
        </is>
      </c>
    </row>
    <row r="2"/>
    <row r="3">
      <c r="A3" s="15" t="inlineStr">
        <is>
          <t>Payment Date</t>
        </is>
      </c>
      <c r="B3" s="15" t="inlineStr">
        <is>
          <t>Tax Type</t>
        </is>
      </c>
      <c r="C3" s="15" t="inlineStr">
        <is>
          <t>Amount</t>
        </is>
      </c>
      <c r="D3" s="15" t="inlineStr">
        <is>
          <t>Fiscal Year</t>
        </is>
      </c>
      <c r="E3" s="15" t="inlineStr">
        <is>
          <t>Comment</t>
        </is>
      </c>
    </row>
    <row r="4">
      <c r="A4" s="13" t="inlineStr">
        <is>
          <t>2021-04-15</t>
        </is>
      </c>
      <c r="B4" s="13" t="inlineStr">
        <is>
          <t>VAT settlement</t>
        </is>
      </c>
      <c r="C4" s="5" t="n">
        <v>2.2</v>
      </c>
      <c r="D4" s="13" t="inlineStr">
        <is>
          <t>FY2021</t>
        </is>
      </c>
      <c r="E4" s="13" t="inlineStr">
        <is>
          <t>Quarterly net settlement</t>
        </is>
      </c>
    </row>
    <row r="5">
      <c r="A5" s="13" t="inlineStr">
        <is>
          <t>2021-09-12</t>
        </is>
      </c>
      <c r="B5" s="13" t="inlineStr">
        <is>
          <t>Dubai transfer fees</t>
        </is>
      </c>
      <c r="C5" s="5" t="n">
        <v>8.699999999999999</v>
      </c>
      <c r="D5" s="13" t="inlineStr">
        <is>
          <t>FY2021</t>
        </is>
      </c>
      <c r="E5" s="13" t="inlineStr">
        <is>
          <t>Land parcel registration</t>
        </is>
      </c>
    </row>
    <row r="6">
      <c r="A6" s="13" t="inlineStr">
        <is>
          <t>2022-03-31</t>
        </is>
      </c>
      <c r="B6" s="13" t="inlineStr">
        <is>
          <t>VAT settlement</t>
        </is>
      </c>
      <c r="C6" s="5" t="n">
        <v>1.5</v>
      </c>
      <c r="D6" s="13" t="inlineStr">
        <is>
          <t>FY2022</t>
        </is>
      </c>
      <c r="E6" s="13" t="inlineStr">
        <is>
          <t>Quarterly net settlement</t>
        </is>
      </c>
    </row>
    <row r="7">
      <c r="A7" s="13" t="inlineStr">
        <is>
          <t>2022-10-05</t>
        </is>
      </c>
      <c r="B7" s="13" t="inlineStr">
        <is>
          <t>Municipality / permit fees</t>
        </is>
      </c>
      <c r="C7" s="5" t="n">
        <v>6.3</v>
      </c>
      <c r="D7" s="13" t="inlineStr">
        <is>
          <t>FY2022</t>
        </is>
      </c>
      <c r="E7" s="13" t="inlineStr">
        <is>
          <t>Project approvals</t>
        </is>
      </c>
    </row>
    <row r="8">
      <c r="A8" s="13" t="inlineStr">
        <is>
          <t>2023-03-31</t>
        </is>
      </c>
      <c r="B8" s="13" t="inlineStr">
        <is>
          <t>VAT settlement</t>
        </is>
      </c>
      <c r="C8" s="5" t="n">
        <v>3.9</v>
      </c>
      <c r="D8" s="13" t="inlineStr">
        <is>
          <t>FY2023</t>
        </is>
      </c>
      <c r="E8" s="13" t="inlineStr">
        <is>
          <t>Quarterly net settlement</t>
        </is>
      </c>
    </row>
    <row r="9">
      <c r="A9" s="13" t="inlineStr">
        <is>
          <t>2023-12-20</t>
        </is>
      </c>
      <c r="B9" s="13" t="inlineStr">
        <is>
          <t>Corporate tax payment</t>
        </is>
      </c>
      <c r="C9" s="5" t="n">
        <v>8.6</v>
      </c>
      <c r="D9" s="13" t="inlineStr">
        <is>
          <t>FY2023</t>
        </is>
      </c>
      <c r="E9" s="13" t="inlineStr">
        <is>
          <t>Illustrative annual tax settlement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36" customWidth="1" min="4" max="4"/>
  </cols>
  <sheetData>
    <row r="1">
      <c r="A1" s="12" t="inlineStr">
        <is>
          <t>Tax Risk Summary</t>
        </is>
      </c>
    </row>
    <row r="2"/>
    <row r="3">
      <c r="A3" s="15" t="inlineStr">
        <is>
          <t>Tax Area</t>
        </is>
      </c>
      <c r="B3" s="15" t="inlineStr">
        <is>
          <t>Risk Description</t>
        </is>
      </c>
      <c r="C3" s="15" t="inlineStr">
        <is>
          <t>Risk Level</t>
        </is>
      </c>
      <c r="D3" s="15" t="inlineStr">
        <is>
          <t>Mitigation / Control</t>
        </is>
      </c>
    </row>
    <row r="4">
      <c r="A4" s="18" t="inlineStr">
        <is>
          <t>Corporate Tax</t>
        </is>
      </c>
      <c r="B4" s="18" t="inlineStr">
        <is>
          <t>Transition from accounting profit reporting to fully supportable taxable income bridge across multiple SPVs.</t>
        </is>
      </c>
      <c r="C4" s="19" t="inlineStr">
        <is>
          <t>Medium</t>
        </is>
      </c>
      <c r="D4" s="18" t="inlineStr">
        <is>
          <t>Annual book-to-tax bridge, entity-level review, external advisor sign-off.</t>
        </is>
      </c>
    </row>
    <row r="5">
      <c r="A5" s="18" t="inlineStr">
        <is>
          <t>VAT</t>
        </is>
      </c>
      <c r="B5" s="18" t="inlineStr">
        <is>
          <t>Input VAT recoverability for mixed-use projects and adequacy of tax invoice support.</t>
        </is>
      </c>
      <c r="C5" s="20" t="inlineStr">
        <is>
          <t>High</t>
        </is>
      </c>
      <c r="D5" s="18" t="inlineStr">
        <is>
          <t>Project coding controls, invoice validation, refund file support packs.</t>
        </is>
      </c>
    </row>
    <row r="6">
      <c r="A6" s="18" t="inlineStr">
        <is>
          <t>Real Estate Fees</t>
        </is>
      </c>
      <c r="B6" s="18" t="inlineStr">
        <is>
          <t>Completeness of capitalization or expensing of land transfer and registration fees.</t>
        </is>
      </c>
      <c r="C6" s="19" t="inlineStr">
        <is>
          <t>Medium</t>
        </is>
      </c>
      <c r="D6" s="18" t="inlineStr">
        <is>
          <t>Transaction checklists and land acquisition reconciliations.</t>
        </is>
      </c>
    </row>
    <row r="7">
      <c r="A7" s="18" t="inlineStr">
        <is>
          <t>Cross-border / JV</t>
        </is>
      </c>
      <c r="B7" s="18" t="inlineStr">
        <is>
          <t>Potential exposure from international investors, service fees, or profit-sharing arrangements.</t>
        </is>
      </c>
      <c r="C7" s="19" t="inlineStr">
        <is>
          <t>Medium</t>
        </is>
      </c>
      <c r="D7" s="18" t="inlineStr">
        <is>
          <t>Legal entity map, contract review, advisor consultation.</t>
        </is>
      </c>
    </row>
    <row r="8">
      <c r="A8" s="18" t="inlineStr">
        <is>
          <t>Governance</t>
        </is>
      </c>
      <c r="B8" s="18" t="inlineStr">
        <is>
          <t>Consistency of tax filings with audited financial statement disclosures and board reporting.</t>
        </is>
      </c>
      <c r="C8" s="21" t="inlineStr">
        <is>
          <t>Low</t>
        </is>
      </c>
      <c r="D8" s="18" t="inlineStr">
        <is>
          <t>Quarterly tax review, close checklist, management certification.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2026-03-08T05:36:59Z</dcterms:created>
  <dcterms:modified xmlns:dcterms="http://purl.org/dc/terms/" xmlns:xsi="http://www.w3.org/2001/XMLSchema-instance" xsi:type="dcterms:W3CDTF">2026-03-08T05:36:59Z</dcterms:modified>
</cp:coreProperties>
</file>