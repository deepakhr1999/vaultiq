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7f69ed293e04300" /></Relationships>
</file>

<file path=xl/workbook.xml><?xml version="1.0" encoding="utf-8"?>
<x:workbook xmlns:x="http://schemas.openxmlformats.org/spreadsheetml/2006/main">
  <x:sheets>
    <x:sheet xmlns:r="http://schemas.openxmlformats.org/officeDocument/2006/relationships" name="Current Cap Table" sheetId="1" r:id="R1ececa0f0ac44b7d"/>
    <x:sheet xmlns:r="http://schemas.openxmlformats.org/officeDocument/2006/relationships" name="Cap History" sheetId="2" r:id="Rd8000077ac4d46d2"/>
    <x:sheet xmlns:r="http://schemas.openxmlformats.org/officeDocument/2006/relationships" name="Share Rights" sheetId="3" r:id="Rc727c42c8f454287"/>
    <x:sheet xmlns:r="http://schemas.openxmlformats.org/officeDocument/2006/relationships" name="Dilution Scenarios" sheetId="4" r:id="Rc0ac9c959f5e4474"/>
    <x:sheet xmlns:r="http://schemas.openxmlformats.org/officeDocument/2006/relationships" name="Ownership Summary" sheetId="5" r:id="R3707fb67880143f4"/>
  </x:sheets>
</x:workbook>
</file>

<file path=xl/comments1.xml><?xml version="1.0" encoding="utf-8"?>
<x:comments xmlns:x="http://schemas.openxmlformats.org/spreadsheetml/2006/main">
  <x:authors>
    <x:author>OpenAI</x:author>
  </x:authors>
  <x:commentList>
    <x:comment ref="B5" authorId="0">
      <x:text>
        <x:r>
          <x:t>Total issued and outstanding shares at HoldCo level; no treasury shares identified.</x:t>
        </x:r>
      </x:text>
    </x:comment>
    <x:comment ref="M9" authorId="0">
      <x:text>
        <x:r>
          <x:t>Majority control retained by founder entity; typical for founder-led Dubai developer prior to PE entry.</x:t>
        </x:r>
      </x:text>
    </x:comment>
    <x:comment ref="M10" authorId="0">
      <x:text>
        <x:r>
          <x:t>Investment tied to Marina tower execution and platform growth.</x:t>
        </x:r>
      </x:text>
    </x:comment>
    <x:comment ref="M11" authorId="0">
      <x:text>
        <x:r>
          <x:t>Family office investor with strategic governance rights via SHA.</x:t>
        </x:r>
      </x:text>
    </x:comment>
    <x:comment ref="M12" authorId="0">
      <x:text>
        <x:r>
          <x:t>Strategic investor focused on branded residences and mixed-use expansion.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8">
    <x:font>
      <x:sz val="11"/>
      <x:color theme="1"/>
      <x:name val="Calibri"/>
      <x:family val="2"/>
      <x:scheme val="minor"/>
    </x:font>
    <x:font>
      <x:b/>
      <x:sz val="14"/>
      <x:color rgb="0017365D"/>
      <x:name val="Arial"/>
    </x:font>
    <x:font>
      <x:b/>
      <x:sz val="10"/>
      <x:color rgb="00000000"/>
      <x:name val="Arial"/>
    </x:font>
    <x:font>
      <x:sz val="10"/>
      <x:color rgb="000000FF"/>
      <x:name val="Arial"/>
    </x:font>
    <x:font>
      <x:sz val="10"/>
      <x:color rgb="00000000"/>
      <x:name val="Arial"/>
    </x:font>
    <x:font>
      <x:b/>
      <x:sz val="10"/>
      <x:color rgb="00FFFFFF"/>
      <x:name val="Arial"/>
    </x:font>
    <x:font>
      <x:sz val="10"/>
      <x:color rgb="00666666"/>
      <x:name val="Arial"/>
    </x:font>
    <x:font>
      <x:sz val="10"/>
      <x:color rgb="00008000"/>
      <x:name val="Arial"/>
    </x:font>
  </x:fonts>
  <x:fills count="7">
    <x:fill>
      <x:patternFill patternType="none"/>
    </x:fill>
    <x:fill>
      <x:patternFill patternType="gray125"/>
    </x:fill>
    <x:fill>
      <x:patternFill patternType="solid">
        <x:fgColor rgb="00D9EAF7"/>
      </x:patternFill>
    </x:fill>
    <x:fill>
      <x:patternFill patternType="solid">
        <x:fgColor rgb="001F4E78"/>
      </x:patternFill>
    </x:fill>
    <x:fill>
      <x:patternFill patternType="solid">
        <x:fgColor rgb="00F3F3F3"/>
      </x:patternFill>
    </x:fill>
    <x:fill>
      <x:patternFill patternType="solid">
        <x:fgColor rgb="00EAF4FB"/>
      </x:patternFill>
    </x:fill>
    <x:fill>
      <x:patternFill patternType="solid">
        <x:fgColor rgb="00FFFFFF"/>
      </x:patternFill>
    </x:fill>
  </x:fills>
  <x:borders count="2">
    <x:border>
      <x:left/>
      <x:right/>
      <x:top/>
      <x:bottom/>
      <x:diagonal/>
    </x:border>
    <x:border>
      <x:top style="medium">
        <x:color rgb="00000000"/>
      </x:top>
    </x:border>
  </x:borders>
  <x:cellStyleXfs count="1">
    <x:xf numFmtId="0" fontId="0" fillId="0" borderId="0"/>
  </x:cellStyleXfs>
  <x:cellXfs count="36">
    <x:xf numFmtId="0" fontId="0" fillId="0" borderId="0" xfId="0"/>
    <x:xf numFmtId="0" fontId="1" fillId="0" borderId="0" xfId="0" applyAlignment="1">
      <x:alignment vertical="center"/>
    </x:xf>
    <x:xf numFmtId="0" fontId="0" fillId="0" borderId="0" xfId="0" applyAlignment="1">
      <x:alignment vertical="center"/>
    </x:xf>
    <x:xf numFmtId="0" fontId="2" fillId="2" borderId="0" xfId="0" applyAlignment="1">
      <x:alignment vertical="center"/>
    </x:xf>
    <x:xf numFmtId="0" fontId="3" fillId="0" borderId="0" xfId="0" applyAlignment="1">
      <x:alignment vertical="center"/>
    </x:xf>
    <x:xf numFmtId="0" fontId="5" fillId="3" borderId="0" xfId="0" applyAlignment="1">
      <x:alignment vertical="center"/>
    </x:xf>
    <x:xf numFmtId="0" fontId="4" fillId="4" borderId="0" xfId="0" applyAlignment="1">
      <x:alignment vertical="top" wrapText="1"/>
    </x:xf>
    <x:xf numFmtId="3" fontId="3" fillId="0" borderId="0" xfId="0" applyAlignment="1">
      <x:alignment vertical="center"/>
    </x:xf>
    <x:xf numFmtId="3" fontId="4" fillId="0" borderId="0" xfId="0" applyAlignment="1">
      <x:alignment vertical="center"/>
    </x:xf>
    <x:xf numFmtId="0" fontId="5" fillId="3" borderId="0" xfId="0" applyAlignment="1">
      <x:alignment horizontal="center" vertical="center" wrapText="1"/>
    </x:xf>
    <x:xf numFmtId="0" fontId="4" fillId="5" borderId="0" xfId="0" applyAlignment="1">
      <x:alignment vertical="center" wrapText="1"/>
    </x:xf>
    <x:xf numFmtId="38" fontId="3" fillId="5" borderId="0" xfId="0" applyAlignment="1">
      <x:alignment vertical="center" wrapText="1"/>
    </x:xf>
    <x:xf numFmtId="38" fontId="4" fillId="5" borderId="0" xfId="0" applyAlignment="1">
      <x:alignment vertical="center" wrapText="1"/>
    </x:xf>
    <x:xf numFmtId="164" fontId="4" fillId="5" borderId="0" xfId="0" applyAlignment="1">
      <x:alignment vertical="center" wrapText="1"/>
    </x:xf>
    <x:xf numFmtId="0" fontId="4" fillId="6" borderId="0" xfId="0" applyAlignment="1">
      <x:alignment vertical="center" wrapText="1"/>
    </x:xf>
    <x:xf numFmtId="38" fontId="3" fillId="6" borderId="0" xfId="0" applyAlignment="1">
      <x:alignment vertical="center" wrapText="1"/>
    </x:xf>
    <x:xf numFmtId="38" fontId="4" fillId="6" borderId="0" xfId="0" applyAlignment="1">
      <x:alignment vertical="center" wrapText="1"/>
    </x:xf>
    <x:xf numFmtId="164" fontId="4" fillId="6" borderId="0" xfId="0" applyAlignment="1">
      <x:alignment vertical="center" wrapText="1"/>
    </x:xf>
    <x:xf numFmtId="0" fontId="2" fillId="0" borderId="1" xfId="0" applyAlignment="1">
      <x:alignment vertical="center"/>
    </x:xf>
    <x:xf numFmtId="0" fontId="0" fillId="0" borderId="1" xfId="0" applyAlignment="1">
      <x:alignment vertical="center"/>
    </x:xf>
    <x:xf numFmtId="38" fontId="4" fillId="0" borderId="1" xfId="0" applyAlignment="1">
      <x:alignment vertical="center"/>
    </x:xf>
    <x:xf numFmtId="164" fontId="4" fillId="0" borderId="1" xfId="0" applyAlignment="1">
      <x:alignment vertical="center"/>
    </x:xf>
    <x:xf numFmtId="0" fontId="6" fillId="0" borderId="1" xfId="0" applyAlignment="1">
      <x:alignment vertical="center"/>
    </x:xf>
    <x:xf numFmtId="0" fontId="2" fillId="4" borderId="0" xfId="0" applyAlignment="1">
      <x:alignment vertical="center"/>
    </x:xf>
    <x:xf numFmtId="164" fontId="4" fillId="0" borderId="0" xfId="0" applyAlignment="1">
      <x:alignment vertical="center"/>
    </x:xf>
    <x:xf numFmtId="1" fontId="4" fillId="0" borderId="0" xfId="0" applyAlignment="1">
      <x:alignment vertical="center"/>
    </x:xf>
    <x:xf numFmtId="0" fontId="4" fillId="0" borderId="0" xfId="0" applyAlignment="1">
      <x:alignment vertical="center" wrapText="1"/>
    </x:xf>
    <x:xf numFmtId="3" fontId="3" fillId="0" borderId="0" xfId="0" applyAlignment="1">
      <x:alignment vertical="center" wrapText="1"/>
    </x:xf>
    <x:xf numFmtId="0" fontId="4" fillId="0" borderId="0" xfId="0" applyAlignment="1">
      <x:alignment wrapText="1"/>
    </x:xf>
    <x:xf numFmtId="0" fontId="2" fillId="0" borderId="0" xfId="0" applyAlignment="1">
      <x:alignment vertical="center"/>
    </x:xf>
    <x:xf numFmtId="3" fontId="7" fillId="0" borderId="0" xfId="0" applyAlignment="1">
      <x:alignment vertical="center"/>
    </x:xf>
    <x:xf numFmtId="3" fontId="4" fillId="0" borderId="0" xfId="0" applyAlignment="1">
      <x:alignment vertical="center" wrapText="1"/>
    </x:xf>
    <x:xf numFmtId="164" fontId="7" fillId="0" borderId="0" xfId="0" applyAlignment="1">
      <x:alignment vertical="center" wrapText="1"/>
    </x:xf>
    <x:xf numFmtId="164" fontId="4" fillId="0" borderId="0" xfId="0" applyAlignment="1">
      <x:alignment vertical="center" wrapText="1"/>
    </x:xf>
    <x:xf numFmtId="0" fontId="7" fillId="0" borderId="0" xfId="0" applyAlignment="1">
      <x:alignment vertical="center" wrapText="1"/>
    </x:xf>
    <x:xf numFmtId="3" fontId="7"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6190fc6647f44be" /><Relationship Type="http://schemas.openxmlformats.org/officeDocument/2006/relationships/theme" Target="/xl/theme/theme1.xml" Id="R5392dc8ec1fa45ad" /><Relationship Type="http://schemas.openxmlformats.org/officeDocument/2006/relationships/sharedStrings" Target="/xl/sharedStrings.xml" Id="R1b92aeb79b1849ad" /><Relationship Type="http://schemas.openxmlformats.org/officeDocument/2006/relationships/worksheet" Target="/xl/worksheets/sheet1.xml" Id="R1ececa0f0ac44b7d" /><Relationship Type="http://schemas.openxmlformats.org/officeDocument/2006/relationships/worksheet" Target="/xl/worksheets/sheet2.xml" Id="Rd8000077ac4d46d2" /><Relationship Type="http://schemas.openxmlformats.org/officeDocument/2006/relationships/worksheet" Target="/xl/worksheets/sheet3.xml" Id="Rc727c42c8f454287" /><Relationship Type="http://schemas.openxmlformats.org/officeDocument/2006/relationships/worksheet" Target="/xl/worksheets/sheet4.xml" Id="Rc0ac9c959f5e4474" /><Relationship Type="http://schemas.openxmlformats.org/officeDocument/2006/relationships/worksheet" Target="/xl/worksheets/sheet5.xml" Id="R3707fb67880143f4" /><Relationship Type="http://schemas.microsoft.com/office/2017/10/relationships/person" Target="/xl/persons/person.xml" Id="Rdb185333adf44e7c" /></Relationships>
</file>

<file path=xl/persons/person.xml><?xml version="1.0" encoding="utf-8"?>
<xltc:personList xmlns:xltc="http://schemas.microsoft.com/office/spreadsheetml/2018/threadedcomments">
  <xltc:person displayName="OpenAI" id="{DFE8B0CE-9918-738A-068E-5913BF69E211}"/>
</xltc:personList>
</file>

<file path=xl/tables/table1.xml><?xml version="1.0" encoding="utf-8"?>
<x:table xmlns:x="http://schemas.openxmlformats.org/spreadsheetml/2006/main" id="1" name="CurrentCapTable" displayName="CurrentCapTable" ref="A8:M12" headerRowCount="1">
  <x:autoFilter ref="A8:M12"/>
  <x:tableColumns count="13">
    <x:tableColumn id="1" name="Shareholder Name"/>
    <x:tableColumn id="2" name="Shareholder Type"/>
    <x:tableColumn id="3" name="Jurisdiction"/>
    <x:tableColumn id="4" name="Security / Class"/>
    <x:tableColumn id="5" name="Cert. / Register Ref."/>
    <x:tableColumn id="6" name="Original Issue Date"/>
    <x:tableColumn id="7" name="Shares Subscribed"/>
    <x:tableColumn id="8" name="Net Transfers In / (Out)"/>
    <x:tableColumn id="9" name="Current Shares Outstanding"/>
    <x:tableColumn id="10" name="Ownership %"/>
    <x:tableColumn id="11" name="Paid-In Capital (AED)"/>
    <x:tableColumn id="12" name="Board / Reserved Matter Rights"/>
    <x:tableColumn id="13" name="Notes"/>
  </x:tableColumns>
  <x:tableStyleInfo name="TableStyleMedium2"/>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d54d102807734097" /><Relationship Type="http://schemas.openxmlformats.org/officeDocument/2006/relationships/vmlDrawing" Target="/xl/drawings/vmldrawing.vml" Id="R81059f5dcb6140f5" /><Relationship Type="http://schemas.openxmlformats.org/officeDocument/2006/relationships/table" Target="/xl/tables/table1.xml" Id="R2918072acf794d73"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8" customWidth="1"/>
    <x:col min="2" max="2" width="24" customWidth="1"/>
    <x:col min="3" max="3" width="12" customWidth="1"/>
    <x:col min="4" max="4" width="23" customWidth="1"/>
    <x:col min="5" max="5" width="26" customWidth="1"/>
    <x:col min="6" max="6" width="14" customWidth="1"/>
    <x:col min="7" max="7" width="15" customWidth="1"/>
    <x:col min="8" max="8" width="17" customWidth="1"/>
    <x:col min="9" max="9" width="18" customWidth="1"/>
    <x:col min="10" max="10" width="11" customWidth="1"/>
    <x:col min="11" max="11" width="16" customWidth="1"/>
    <x:col min="12" max="12" width="27" customWidth="1"/>
    <x:col min="13" max="13" width="34" customWidth="1"/>
  </x:cols>
  <x:sheetData>
    <x:row r="1" ht="22" customHeight="1">
      <x:c r="A1" s="1" t="inlineStr">
        <x:is>
          <x:t xml:space="preserve">Capitalization Table - Aurelia Developments LLC</x:t>
        </x:is>
      </x:c>
    </x:row>
    <x:row r="2" ht="22" customHeight="1">
      <x:c r="A2" s="2" t="n"/>
      <x:c r="B2" s="2" t="n"/>
      <x:c r="C2" s="2" t="n"/>
      <x:c r="D2" s="2" t="n"/>
      <x:c r="E2" s="2" t="n"/>
      <x:c r="F2" s="2" t="n"/>
      <x:c r="G2" s="2" t="n"/>
      <x:c r="H2" s="2" t="n"/>
      <x:c r="I2" s="2" t="n"/>
      <x:c r="J2" s="2" t="n"/>
      <x:c r="K2" s="2" t="n"/>
      <x:c r="L2" s="2" t="n"/>
      <x:c r="M2" s="2" t="n"/>
    </x:row>
    <x:row r="3" ht="22" customHeight="1">
      <x:c r="A3" s="3" t="inlineStr">
        <x:is>
          <x:t xml:space="preserve">As of Date</x:t>
        </x:is>
      </x:c>
      <x:c r="B3" s="4" t="inlineStr">
        <x:is>
          <x:t xml:space="preserve">31-Dec-2024</x:t>
        </x:is>
      </x:c>
      <x:c r="C3" s="2" t="n"/>
      <x:c r="D3" s="5" t="inlineStr">
        <x:is>
          <x:t xml:space="preserve">Scope / Basis</x:t>
        </x:is>
      </x:c>
    </x:row>
    <x:row r="4" ht="42" customHeight="1">
      <x:c r="A4" s="3" t="inlineStr">
        <x:is>
          <x:t xml:space="preserve">Entity Type</x:t>
        </x:is>
      </x:c>
      <x:c r="B4" s="4" t="inlineStr">
        <x:is>
          <x:t xml:space="preserve">Dubai limited liability company</x:t>
        </x:is>
      </x:c>
      <x:c r="C4" s="2" t="n"/>
      <x:c r="D4" s="6" t="inlineStr">
        <x:is>
          <x:t xml:space="preserve">HoldCo cap table only. Excludes project-level SPV equity, shareholder loans, escrow accounts, construction debt, and any promote arrangements at project entities. All shares are ordinary membership shares with pari passu economic rights unless otherwise documented in the shareholders' agreement.</x:t>
        </x:is>
      </x:c>
    </x:row>
    <x:row r="5" ht="22" customHeight="1">
      <x:c r="A5" s="3" t="inlineStr">
        <x:is>
          <x:t xml:space="preserve">Authorized Shares</x:t>
        </x:is>
      </x:c>
      <x:c r="B5" s="7" t="n">
        <x:v>120000</x:v>
      </x:c>
      <x:c r="C5" s="2" t="n"/>
    </x:row>
    <x:row r="6" ht="22" customHeight="1">
      <x:c r="A6" s="3" t="inlineStr">
        <x:is>
          <x:t xml:space="preserve">Issued &amp; Outstanding Shares</x:t>
        </x:is>
      </x:c>
      <x:c r="B6" s="8">
        <x:f>SUM(I9:I12)</x:f>
        <x:v>100000</x:v>
      </x:c>
      <x:c r="C6" s="2" t="n"/>
    </x:row>
    <x:row r="7" ht="22" customHeight="1">
      <x:c r="A7" s="3" t="inlineStr">
        <x:is>
          <x:t xml:space="preserve">Treasury Shares</x:t>
        </x:is>
      </x:c>
      <x:c r="B7" s="7" t="n">
        <x:v>0</x:v>
      </x:c>
      <x:c r="C7" s="2" t="n"/>
      <x:c r="D7" s="2" t="n"/>
      <x:c r="E7" s="2" t="n"/>
      <x:c r="F7" s="2" t="n"/>
      <x:c r="G7" s="2" t="n"/>
      <x:c r="H7" s="2" t="n"/>
      <x:c r="I7" s="2" t="n"/>
      <x:c r="J7" s="2" t="n"/>
      <x:c r="K7" s="2" t="n"/>
      <x:c r="L7" s="2" t="n"/>
      <x:c r="M7" s="2" t="n"/>
    </x:row>
    <x:row r="8" ht="22" customHeight="1">
      <x:c r="A8" s="9" t="inlineStr">
        <x:is>
          <x:t xml:space="preserve">Shareholder Name</x:t>
        </x:is>
      </x:c>
      <x:c r="B8" s="9" t="inlineStr">
        <x:is>
          <x:t xml:space="preserve">Shareholder Type</x:t>
        </x:is>
      </x:c>
      <x:c r="C8" s="9" t="inlineStr">
        <x:is>
          <x:t xml:space="preserve">Jurisdiction</x:t>
        </x:is>
      </x:c>
      <x:c r="D8" s="9" t="inlineStr">
        <x:is>
          <x:t xml:space="preserve">Security / Class</x:t>
        </x:is>
      </x:c>
      <x:c r="E8" s="9" t="inlineStr">
        <x:is>
          <x:t xml:space="preserve">Cert. / Register Ref.</x:t>
        </x:is>
      </x:c>
      <x:c r="F8" s="9" t="inlineStr">
        <x:is>
          <x:t xml:space="preserve">Original Issue Date</x:t>
        </x:is>
      </x:c>
      <x:c r="G8" s="9" t="inlineStr">
        <x:is>
          <x:t xml:space="preserve">Shares Subscribed</x:t>
        </x:is>
      </x:c>
      <x:c r="H8" s="9" t="inlineStr">
        <x:is>
          <x:t xml:space="preserve">Net Transfers In / (Out)</x:t>
        </x:is>
      </x:c>
      <x:c r="I8" s="9" t="inlineStr">
        <x:is>
          <x:t xml:space="preserve">Current Shares Outstanding</x:t>
        </x:is>
      </x:c>
      <x:c r="J8" s="9" t="inlineStr">
        <x:is>
          <x:t xml:space="preserve">Ownership %</x:t>
        </x:is>
      </x:c>
      <x:c r="K8" s="9" t="inlineStr">
        <x:is>
          <x:t xml:space="preserve">Paid-In Capital (AED)</x:t>
        </x:is>
      </x:c>
      <x:c r="L8" s="9" t="inlineStr">
        <x:is>
          <x:t xml:space="preserve">Board / Reserved Matter Rights</x:t>
        </x:is>
      </x:c>
      <x:c r="M8" s="9" t="inlineStr">
        <x:is>
          <x:t xml:space="preserve">Notes</x:t>
        </x:is>
      </x:c>
    </x:row>
    <x:row r="9" ht="34" customHeight="1">
      <x:c r="A9" s="10" t="inlineStr">
        <x:is>
          <x:t xml:space="preserve">Aurelia Holdings FZ-LLC</x:t>
        </x:is>
      </x:c>
      <x:c r="B9" s="10" t="inlineStr">
        <x:is>
          <x:t xml:space="preserve">Founder holding company</x:t>
        </x:is>
      </x:c>
      <x:c r="C9" s="10" t="inlineStr">
        <x:is>
          <x:t xml:space="preserve">UAE</x:t>
        </x:is>
      </x:c>
      <x:c r="D9" s="10" t="inlineStr">
        <x:is>
          <x:t xml:space="preserve">Ordinary membership shares</x:t>
        </x:is>
      </x:c>
      <x:c r="E9" s="10" t="inlineStr">
        <x:is>
          <x:t xml:space="preserve">Cert. 001 / Members Register Ref. 1</x:t>
        </x:is>
      </x:c>
      <x:c r="F9" s="10" t="inlineStr">
        <x:is>
          <x:t xml:space="preserve">15-Mar-2016</x:t>
        </x:is>
      </x:c>
      <x:c r="G9" s="11" t="n">
        <x:v>55000</x:v>
      </x:c>
      <x:c r="H9" s="11" t="n">
        <x:v>0</x:v>
      </x:c>
      <x:c r="I9" s="12">
        <x:f>G9+H9</x:f>
        <x:v>55000</x:v>
      </x:c>
      <x:c r="J9" s="13">
        <x:f>I9/$I$13</x:f>
        <x:v>0.55</x:v>
      </x:c>
      <x:c r="K9" s="12">
        <x:f>I9*1000</x:f>
        <x:v>55000000</x:v>
      </x:c>
      <x:c r="L9" s="10" t="inlineStr">
        <x:is>
          <x:t xml:space="preserve">2 board seats; consent right on reserved matters</x:t>
        </x:is>
      </x:c>
      <x:c r="M9" s="10" t="inlineStr">
        <x:is>
          <x:t xml:space="preserve">Founder-controlled vehicle of the Al Rashid family; retains majority control</x:t>
        </x:is>
      </x:c>
    </x:row>
    <x:row r="10" ht="34" customHeight="1">
      <x:c r="A10" s="14" t="inlineStr">
        <x:is>
          <x:t xml:space="preserve">Meridian Global Real Estate Ltd</x:t>
        </x:is>
      </x:c>
      <x:c r="B10" s="14" t="inlineStr">
        <x:is>
          <x:t xml:space="preserve">Regional real estate investment group</x:t>
        </x:is>
      </x:c>
      <x:c r="C10" s="14" t="inlineStr">
        <x:is>
          <x:t xml:space="preserve">Singapore</x:t>
        </x:is>
      </x:c>
      <x:c r="D10" s="14" t="inlineStr">
        <x:is>
          <x:t xml:space="preserve">Ordinary membership shares</x:t>
        </x:is>
      </x:c>
      <x:c r="E10" s="14" t="inlineStr">
        <x:is>
          <x:t xml:space="preserve">Cert. 002 / Members Register Ref. 2</x:t>
        </x:is>
      </x:c>
      <x:c r="F10" s="14" t="inlineStr">
        <x:is>
          <x:t xml:space="preserve">12-Jun-2018</x:t>
        </x:is>
      </x:c>
      <x:c r="G10" s="15" t="n">
        <x:v>20000</x:v>
      </x:c>
      <x:c r="H10" s="15" t="n">
        <x:v>0</x:v>
      </x:c>
      <x:c r="I10" s="16">
        <x:f>G10+H10</x:f>
        <x:v>20000</x:v>
      </x:c>
      <x:c r="J10" s="17">
        <x:f>I10/$I$13</x:f>
        <x:v>0.2</x:v>
      </x:c>
      <x:c r="K10" s="16">
        <x:f>I10*1000</x:f>
        <x:v>20000000</x:v>
      </x:c>
      <x:c r="L10" s="14" t="inlineStr">
        <x:is>
          <x:t xml:space="preserve">1 board seat; pre-emption and information rights</x:t>
        </x:is>
      </x:c>
      <x:c r="M10" s="14" t="inlineStr">
        <x:is>
          <x:t xml:space="preserve">Primary equity issuance to fund Dubai Marina waterfront tower development</x:t>
        </x:is>
      </x:c>
    </x:row>
    <x:row r="11" ht="34" customHeight="1">
      <x:c r="A11" s="10" t="inlineStr">
        <x:is>
          <x:t xml:space="preserve">Al Noor Capital Investments LLC</x:t>
        </x:is>
      </x:c>
      <x:c r="B11" s="10" t="inlineStr">
        <x:is>
          <x:t xml:space="preserve">Family office investor</x:t>
        </x:is>
      </x:c>
      <x:c r="C11" s="10" t="inlineStr">
        <x:is>
          <x:t xml:space="preserve">UAE</x:t>
        </x:is>
      </x:c>
      <x:c r="D11" s="10" t="inlineStr">
        <x:is>
          <x:t xml:space="preserve">Ordinary membership shares</x:t>
        </x:is>
      </x:c>
      <x:c r="E11" s="10" t="inlineStr">
        <x:is>
          <x:t xml:space="preserve">Cert. 003 / Members Register Ref. 3</x:t>
        </x:is>
      </x:c>
      <x:c r="F11" s="10" t="inlineStr">
        <x:is>
          <x:t xml:space="preserve">03-Sep-2020</x:t>
        </x:is>
      </x:c>
      <x:c r="G11" s="11" t="n">
        <x:v>15000</x:v>
      </x:c>
      <x:c r="H11" s="11" t="n">
        <x:v>0</x:v>
      </x:c>
      <x:c r="I11" s="12">
        <x:f>G11+H11</x:f>
        <x:v>15000</x:v>
      </x:c>
      <x:c r="J11" s="13">
        <x:f>I11/$I$13</x:f>
        <x:v>0.15</x:v>
      </x:c>
      <x:c r="K11" s="12">
        <x:f>I11*1000</x:f>
        <x:v>15000000</x:v>
      </x:c>
      <x:c r="L11" s="10" t="inlineStr">
        <x:is>
          <x:t xml:space="preserve">Observer right; veto on major capital events</x:t>
        </x:is>
      </x:c>
      <x:c r="M11" s="10" t="inlineStr">
        <x:is>
          <x:t xml:space="preserve">Strategic family office investment aligned with Palm Jumeirah expansion</x:t>
        </x:is>
      </x:c>
    </x:row>
    <x:row r="12" ht="34" customHeight="1">
      <x:c r="A12" s="14" t="inlineStr">
        <x:is>
          <x:t xml:space="preserve">Crescent Strategic Investments Ltd</x:t>
        </x:is>
      </x:c>
      <x:c r="B12" s="14" t="inlineStr">
        <x:is>
          <x:t xml:space="preserve">Strategic investor</x:t>
        </x:is>
      </x:c>
      <x:c r="C12" s="14" t="inlineStr">
        <x:is>
          <x:t xml:space="preserve">Cayman Islands</x:t>
        </x:is>
      </x:c>
      <x:c r="D12" s="14" t="inlineStr">
        <x:is>
          <x:t xml:space="preserve">Ordinary membership shares</x:t>
        </x:is>
      </x:c>
      <x:c r="E12" s="14" t="inlineStr">
        <x:is>
          <x:t xml:space="preserve">Cert. 004 / Members Register Ref. 4</x:t>
        </x:is>
      </x:c>
      <x:c r="F12" s="14" t="inlineStr">
        <x:is>
          <x:t xml:space="preserve">18-Nov-2022</x:t>
        </x:is>
      </x:c>
      <x:c r="G12" s="15" t="n">
        <x:v>10000</x:v>
      </x:c>
      <x:c r="H12" s="15" t="n">
        <x:v>0</x:v>
      </x:c>
      <x:c r="I12" s="16">
        <x:f>G12+H12</x:f>
        <x:v>10000</x:v>
      </x:c>
      <x:c r="J12" s="17">
        <x:f>I12/$I$13</x:f>
        <x:v>0.1</x:v>
      </x:c>
      <x:c r="K12" s="16">
        <x:f>I12*1000</x:f>
        <x:v>10000000</x:v>
      </x:c>
      <x:c r="L12" s="14" t="inlineStr">
        <x:is>
          <x:t xml:space="preserve">Observer right; co-investment rights at SPV level</x:t>
        </x:is>
      </x:c>
      <x:c r="M12" s="14" t="inlineStr">
        <x:is>
          <x:t xml:space="preserve">Growth capital to support branded residences and mixed-use pipeline</x:t>
        </x:is>
      </x:c>
    </x:row>
    <x:row r="13" ht="22" customHeight="1">
      <x:c r="A13" s="18" t="inlineStr">
        <x:is>
          <x:t xml:space="preserve">Total</x:t>
        </x:is>
      </x:c>
      <x:c r="B13" s="19" t="n"/>
      <x:c r="C13" s="19" t="n"/>
      <x:c r="D13" s="19" t="n"/>
      <x:c r="E13" s="19" t="n"/>
      <x:c r="F13" s="19" t="n"/>
      <x:c r="G13" s="20">
        <x:f>SUM(G9:G12)</x:f>
        <x:v>100000</x:v>
      </x:c>
      <x:c r="H13" s="20">
        <x:f>SUM(H9:H12)</x:f>
        <x:v>0</x:v>
      </x:c>
      <x:c r="I13" s="20">
        <x:f>SUM(I9:I12)</x:f>
        <x:v>100000</x:v>
      </x:c>
      <x:c r="J13" s="21">
        <x:f>SUM(J9:J12)</x:f>
        <x:v>1</x:v>
      </x:c>
      <x:c r="K13" s="20">
        <x:f>SUM(K9:K12)</x:f>
        <x:v>100000000</x:v>
      </x:c>
      <x:c r="L13" s="19" t="n"/>
      <x:c r="M13" s="22" t="inlineStr">
        <x:is>
          <x:t xml:space="preserve">HoldCo capitalization excludes project-level SPV equity</x:t>
        </x:is>
      </x:c>
    </x:row>
    <x:row r="14">
      <x:c r="A14" s="2" t="n"/>
      <x:c r="B14" s="2" t="n"/>
      <x:c r="C14" s="2" t="n"/>
      <x:c r="D14" s="2" t="n"/>
      <x:c r="E14" s="2" t="n"/>
      <x:c r="F14" s="2" t="n"/>
      <x:c r="G14" s="2" t="n"/>
      <x:c r="H14" s="2" t="n"/>
      <x:c r="I14" s="2" t="n"/>
      <x:c r="J14" s="2" t="n"/>
      <x:c r="K14" s="2" t="n"/>
      <x:c r="L14" s="2" t="n"/>
      <x:c r="M14" s="2" t="n"/>
    </x:row>
    <x:row r="15">
      <x:c r="A15" s="2" t="n"/>
      <x:c r="B15" s="2" t="n"/>
      <x:c r="C15" s="2" t="n"/>
      <x:c r="D15" s="2" t="n"/>
      <x:c r="E15" s="2" t="n"/>
      <x:c r="F15" s="2" t="n"/>
      <x:c r="G15" s="2" t="n"/>
      <x:c r="H15" s="2" t="n"/>
      <x:c r="I15" s="2" t="n"/>
      <x:c r="J15" s="2" t="n"/>
      <x:c r="K15" s="2" t="n"/>
      <x:c r="L15" s="2" t="n"/>
      <x:c r="M15" s="2" t="n"/>
    </x:row>
    <x:row r="16">
      <x:c r="A16" s="5" t="inlineStr">
        <x:is>
          <x:t xml:space="preserve">Ownership Concentration Summary</x:t>
        </x:is>
      </x:c>
      <x:c r="F16" s="2" t="n"/>
      <x:c r="G16" s="2" t="n"/>
      <x:c r="H16" s="2" t="n"/>
      <x:c r="I16" s="2" t="n"/>
      <x:c r="J16" s="2" t="n"/>
      <x:c r="K16" s="2" t="n"/>
      <x:c r="L16" s="2" t="n"/>
      <x:c r="M16" s="2" t="n"/>
    </x:row>
    <x:row r="17" ht="20" customHeight="1">
      <x:c r="A17" s="23" t="inlineStr">
        <x:is>
          <x:t xml:space="preserve">Founder ownership</x:t>
        </x:is>
      </x:c>
      <x:c r="B17" s="24">
        <x:f>J9</x:f>
        <x:v>0.55</x:v>
      </x:c>
      <x:c r="C17" s="2" t="n"/>
      <x:c r="D17" s="2" t="n"/>
      <x:c r="E17" s="2" t="n"/>
      <x:c r="F17" s="2" t="n"/>
      <x:c r="G17" s="2" t="n"/>
      <x:c r="H17" s="2" t="n"/>
      <x:c r="I17" s="2" t="n"/>
      <x:c r="J17" s="2" t="n"/>
      <x:c r="K17" s="2" t="n"/>
      <x:c r="L17" s="2" t="n"/>
      <x:c r="M17" s="2" t="n"/>
    </x:row>
    <x:row r="18" ht="20" customHeight="1">
      <x:c r="A18" s="23" t="inlineStr">
        <x:is>
          <x:t xml:space="preserve">Institutional / external investor ownership</x:t>
        </x:is>
      </x:c>
      <x:c r="B18" s="24">
        <x:f>SUM(J10:J12)</x:f>
        <x:v>0.44999999999999996</x:v>
      </x:c>
      <x:c r="C18" s="2" t="n"/>
      <x:c r="D18" s="2" t="n"/>
      <x:c r="E18" s="2" t="n"/>
      <x:c r="F18" s="2" t="n"/>
      <x:c r="G18" s="2" t="n"/>
      <x:c r="H18" s="2" t="n"/>
      <x:c r="I18" s="2" t="n"/>
      <x:c r="J18" s="2" t="n"/>
      <x:c r="K18" s="2" t="n"/>
      <x:c r="L18" s="2" t="n"/>
      <x:c r="M18" s="2" t="n"/>
    </x:row>
    <x:row r="19" ht="20" customHeight="1">
      <x:c r="A19" s="23" t="inlineStr">
        <x:is>
          <x:t xml:space="preserve">Number of shareholders</x:t>
        </x:is>
      </x:c>
      <x:c r="B19" s="25">
        <x:f>COUNTA(A9:A12)</x:f>
        <x:v>4</x:v>
      </x:c>
      <x:c r="C19" s="2" t="n"/>
      <x:c r="D19" s="2" t="n"/>
      <x:c r="E19" s="2" t="n"/>
      <x:c r="F19" s="2" t="n"/>
      <x:c r="G19" s="2" t="n"/>
      <x:c r="H19" s="2" t="n"/>
      <x:c r="I19" s="2" t="n"/>
      <x:c r="J19" s="2" t="n"/>
      <x:c r="K19" s="2" t="n"/>
      <x:c r="L19" s="2" t="n"/>
      <x:c r="M19" s="2" t="n"/>
    </x:row>
    <x:row r="20" ht="20" customHeight="1">
      <x:c r="A20" s="23" t="inlineStr">
        <x:is>
          <x:t xml:space="preserve">Top 2 holders ownership</x:t>
        </x:is>
      </x:c>
      <x:c r="B20" s="24">
        <x:f>J9+J10</x:f>
        <x:v>0.75</x:v>
      </x:c>
      <x:c r="C20" s="2" t="n"/>
      <x:c r="D20" s="2" t="n"/>
      <x:c r="E20" s="2" t="n"/>
      <x:c r="F20" s="2" t="n"/>
      <x:c r="G20" s="2" t="n"/>
      <x:c r="H20" s="2" t="n"/>
      <x:c r="I20" s="2" t="n"/>
      <x:c r="J20" s="2" t="n"/>
      <x:c r="K20" s="2" t="n"/>
      <x:c r="L20" s="2" t="n"/>
      <x:c r="M20" s="2" t="n"/>
    </x:row>
  </x:sheetData>
  <x:mergeCells>
    <x:mergeCell ref="A16:E16"/>
    <x:mergeCell ref="D4:M6"/>
    <x:mergeCell ref="D3:M3"/>
    <x:mergeCell ref="A1:M1"/>
  </x:mergeCells>
  <x:pageMargins left="0.7" right="0.7" top="0.75" bottom="0.75" header="0.3" footer="0.3"/>
  <x:legacyDrawing xmlns:r="http://schemas.openxmlformats.org/officeDocument/2006/relationships" r:id="R81059f5dcb6140f5"/>
  <x:tableParts count="1">
    <x:tablePart xmlns:r="http://schemas.openxmlformats.org/officeDocument/2006/relationships" r:id="R2918072acf794d73"/>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3" customWidth="1"/>
    <x:col min="2" max="2" width="38" customWidth="1"/>
    <x:col min="3" max="3" width="18" customWidth="1"/>
    <x:col min="4" max="4" width="16" customWidth="1"/>
    <x:col min="5" max="5" width="12" customWidth="1"/>
    <x:col min="6" max="6" width="28" customWidth="1"/>
    <x:col min="7" max="7" width="38" customWidth="1"/>
  </x:cols>
  <x:sheetData>
    <x:row r="1">
      <x:c r="A1" s="1" t="inlineStr">
        <x:is>
          <x:t xml:space="preserve">Historical Capitalization Changes</x:t>
        </x:is>
      </x:c>
    </x:row>
    <x:row r="2">
      <x:c r="A2" s="2" t="n"/>
      <x:c r="B2" s="2" t="n"/>
      <x:c r="C2" s="2" t="n"/>
      <x:c r="D2" s="2" t="n"/>
      <x:c r="E2" s="2" t="n"/>
      <x:c r="F2" s="2" t="n"/>
      <x:c r="G2" s="2" t="n"/>
    </x:row>
    <x:row r="3">
      <x:c r="A3" s="2" t="n"/>
      <x:c r="B3" s="2" t="n"/>
      <x:c r="C3" s="2" t="n"/>
      <x:c r="D3" s="2" t="n"/>
      <x:c r="E3" s="2" t="n"/>
      <x:c r="F3" s="2" t="n"/>
      <x:c r="G3" s="2" t="n"/>
    </x:row>
    <x:row r="4" ht="28" customHeight="1">
      <x:c r="A4" s="9" t="inlineStr">
        <x:is>
          <x:t xml:space="preserve">Date</x:t>
        </x:is>
      </x:c>
      <x:c r="B4" s="9" t="inlineStr">
        <x:is>
          <x:t xml:space="preserve">Event</x:t>
        </x:is>
      </x:c>
      <x:c r="C4" s="9" t="inlineStr">
        <x:is>
          <x:t xml:space="preserve">Transaction Type</x:t>
        </x:is>
      </x:c>
      <x:c r="D4" s="9" t="inlineStr">
        <x:is>
          <x:t xml:space="preserve">New Shares Issued</x:t>
        </x:is>
      </x:c>
      <x:c r="E4" s="9" t="inlineStr">
        <x:is>
          <x:t xml:space="preserve">Primary / Secondary</x:t>
        </x:is>
      </x:c>
      <x:c r="F4" s="9" t="inlineStr">
        <x:is>
          <x:t xml:space="preserve">Investor / Transfer Counterparty</x:t>
        </x:is>
      </x:c>
      <x:c r="G4" s="9" t="inlineStr">
        <x:is>
          <x:t xml:space="preserve">Post-Transaction Ownership</x:t>
        </x:is>
      </x:c>
    </x:row>
    <x:row r="5" ht="28" customHeight="1">
      <x:c r="A5" s="26" t="inlineStr">
        <x:is>
          <x:t xml:space="preserve">15-Mar-2016</x:t>
        </x:is>
      </x:c>
      <x:c r="B5" s="26" t="inlineStr">
        <x:is>
          <x:t xml:space="preserve">Initial incorporation and founder capitalization</x:t>
        </x:is>
      </x:c>
      <x:c r="C5" s="26" t="inlineStr">
        <x:is>
          <x:t xml:space="preserve">Founding issue</x:t>
        </x:is>
      </x:c>
      <x:c r="D5" s="27" t="n">
        <x:v>55000</x:v>
      </x:c>
      <x:c r="E5" s="26" t="inlineStr">
        <x:is>
          <x:t xml:space="preserve">Primary</x:t>
        </x:is>
      </x:c>
      <x:c r="F5" s="26" t="inlineStr">
        <x:is>
          <x:t xml:space="preserve">Aurelia Holdings FZ-LLC</x:t>
        </x:is>
      </x:c>
      <x:c r="G5" s="26" t="inlineStr">
        <x:is>
          <x:t xml:space="preserve">Founder 100.0%</x:t>
        </x:is>
      </x:c>
    </x:row>
    <x:row r="6" ht="28" customHeight="1">
      <x:c r="A6" s="26" t="inlineStr">
        <x:is>
          <x:t xml:space="preserve">12-Jun-2018</x:t>
        </x:is>
      </x:c>
      <x:c r="B6" s="26" t="inlineStr">
        <x:is>
          <x:t xml:space="preserve">Equity raise to fund Aurelia Marina Residences launch</x:t>
        </x:is>
      </x:c>
      <x:c r="C6" s="26" t="inlineStr">
        <x:is>
          <x:t xml:space="preserve">Primary issuance</x:t>
        </x:is>
      </x:c>
      <x:c r="D6" s="27" t="n">
        <x:v>20000</x:v>
      </x:c>
      <x:c r="E6" s="26" t="inlineStr">
        <x:is>
          <x:t xml:space="preserve">Primary</x:t>
        </x:is>
      </x:c>
      <x:c r="F6" s="26" t="inlineStr">
        <x:is>
          <x:t xml:space="preserve">Meridian Global Real Estate Ltd</x:t>
        </x:is>
      </x:c>
      <x:c r="G6" s="26" t="inlineStr">
        <x:is>
          <x:t xml:space="preserve">Founder 73.3%; Meridian 26.7%</x:t>
        </x:is>
      </x:c>
    </x:row>
    <x:row r="7" ht="28" customHeight="1">
      <x:c r="A7" s="26" t="inlineStr">
        <x:is>
          <x:t xml:space="preserve">03-Sep-2020</x:t>
        </x:is>
      </x:c>
      <x:c r="B7" s="26" t="inlineStr">
        <x:is>
          <x:t xml:space="preserve">Strategic capital raise for Palm Jumeirah and branded residences pipeline</x:t>
        </x:is>
      </x:c>
      <x:c r="C7" s="26" t="inlineStr">
        <x:is>
          <x:t xml:space="preserve">Primary issuance</x:t>
        </x:is>
      </x:c>
      <x:c r="D7" s="27" t="n">
        <x:v>15000</x:v>
      </x:c>
      <x:c r="E7" s="26" t="inlineStr">
        <x:is>
          <x:t xml:space="preserve">Primary</x:t>
        </x:is>
      </x:c>
      <x:c r="F7" s="26" t="inlineStr">
        <x:is>
          <x:t xml:space="preserve">Al Noor Capital Investments LLC</x:t>
        </x:is>
      </x:c>
      <x:c r="G7" s="26" t="inlineStr">
        <x:is>
          <x:t xml:space="preserve">Founder 61.1%; Meridian 22.2%; Al Noor 16.7%</x:t>
        </x:is>
      </x:c>
    </x:row>
    <x:row r="8" ht="28" customHeight="1">
      <x:c r="A8" s="26" t="inlineStr">
        <x:is>
          <x:t xml:space="preserve">18-Nov-2022</x:t>
        </x:is>
      </x:c>
      <x:c r="B8" s="26" t="inlineStr">
        <x:is>
          <x:t xml:space="preserve">Growth capital round supporting mixed-use expansion and hospitality partnerships</x:t>
        </x:is>
      </x:c>
      <x:c r="C8" s="26" t="inlineStr">
        <x:is>
          <x:t xml:space="preserve">Primary issuance</x:t>
        </x:is>
      </x:c>
      <x:c r="D8" s="27" t="n">
        <x:v>10000</x:v>
      </x:c>
      <x:c r="E8" s="26" t="inlineStr">
        <x:is>
          <x:t xml:space="preserve">Primary</x:t>
        </x:is>
      </x:c>
      <x:c r="F8" s="26" t="inlineStr">
        <x:is>
          <x:t xml:space="preserve">Crescent Strategic Investments Ltd</x:t>
        </x:is>
      </x:c>
      <x:c r="G8" s="26" t="inlineStr">
        <x:is>
          <x:t xml:space="preserve">Founder 55.0%; Meridian 20.0%; Al Noor 15.0%; Crescent 10.0%</x:t>
        </x:is>
      </x:c>
    </x:row>
  </x:sheetData>
  <x:mergeCells>
    <x:mergeCell ref="A1:G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2" customWidth="1"/>
    <x:col min="2" max="2" width="28" customWidth="1"/>
    <x:col min="3" max="3" width="26" customWidth="1"/>
    <x:col min="4" max="4" width="34" customWidth="1"/>
    <x:col min="5" max="5" width="18" customWidth="1"/>
    <x:col min="6" max="6" width="24" customWidth="1"/>
  </x:cols>
  <x:sheetData>
    <x:row r="1">
      <x:c r="A1" s="1" t="inlineStr">
        <x:is>
          <x:t xml:space="preserve">Share Class and Governance Rights Summary</x:t>
        </x:is>
      </x:c>
    </x:row>
    <x:row r="2">
      <x:c r="A2" s="2" t="n"/>
      <x:c r="B2" s="2" t="n"/>
      <x:c r="C2" s="2" t="n"/>
      <x:c r="D2" s="2" t="n"/>
      <x:c r="E2" s="2" t="n"/>
      <x:c r="F2" s="2" t="n"/>
    </x:row>
    <x:row r="3" ht="34" customHeight="1">
      <x:c r="A3" s="28" t="inlineStr">
        <x:is>
          <x:t xml:space="preserve">All issued shares at HoldCo level are ordinary membership shares. No preferred equity, options, warrants, convertibles, or management ESOP were identified at the parent-company level as of the capitalization date.</x:t>
        </x:is>
      </x:c>
    </x:row>
    <x:row r="4">
      <x:c r="A4" s="2" t="n"/>
      <x:c r="B4" s="2" t="n"/>
      <x:c r="C4" s="2" t="n"/>
      <x:c r="D4" s="2" t="n"/>
      <x:c r="E4" s="2" t="n"/>
      <x:c r="F4" s="2" t="n"/>
    </x:row>
    <x:row r="5">
      <x:c r="A5" s="9" t="inlineStr">
        <x:is>
          <x:t xml:space="preserve">Security / Class</x:t>
        </x:is>
      </x:c>
      <x:c r="B5" s="9" t="inlineStr">
        <x:is>
          <x:t xml:space="preserve">Voting Rights</x:t>
        </x:is>
      </x:c>
      <x:c r="C5" s="9" t="inlineStr">
        <x:is>
          <x:t xml:space="preserve">Dividend Rights</x:t>
        </x:is>
      </x:c>
      <x:c r="D5" s="9" t="inlineStr">
        <x:is>
          <x:t xml:space="preserve">Transfer Restrictions</x:t>
        </x:is>
      </x:c>
      <x:c r="E5" s="9" t="inlineStr">
        <x:is>
          <x:t xml:space="preserve">Liquidation Ranking</x:t>
        </x:is>
      </x:c>
      <x:c r="F5" s="9" t="inlineStr">
        <x:is>
          <x:t xml:space="preserve">Comments</x:t>
        </x:is>
      </x:c>
    </x:row>
    <x:row r="6" ht="54" customHeight="1">
      <x:c r="A6" s="26" t="inlineStr">
        <x:is>
          <x:t xml:space="preserve">Ordinary membership shares</x:t>
        </x:is>
      </x:c>
      <x:c r="B6" s="26" t="inlineStr">
        <x:is>
          <x:t xml:space="preserve">One vote per share, subject to reserved matters in the SHA and MOA</x:t>
        </x:is>
      </x:c>
      <x:c r="C6" s="26" t="inlineStr">
        <x:is>
          <x:t xml:space="preserve">Pro rata to ownership percentage, subject to board and shareholder approval</x:t>
        </x:is>
      </x:c>
      <x:c r="D6" s="26" t="inlineStr">
        <x:is>
          <x:t xml:space="preserve">Transfers subject to pre-emption, board consent, and share transfer formalities under UAE law</x:t>
        </x:is>
      </x:c>
      <x:c r="E6" s="26" t="inlineStr">
        <x:is>
          <x:t xml:space="preserve">Pari passu across all holders</x:t>
        </x:is>
      </x:c>
      <x:c r="F6" s="26" t="inlineStr">
        <x:is>
          <x:t xml:space="preserve">Investor protections are contractual rather than class-based</x:t>
        </x:is>
      </x:c>
    </x:row>
  </x:sheetData>
  <x:mergeCells>
    <x:mergeCell ref="A3:F3"/>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4" customWidth="1"/>
    <x:col min="2" max="2" width="16" customWidth="1"/>
    <x:col min="3" max="3" width="17" customWidth="1"/>
    <x:col min="4" max="4" width="12" customWidth="1"/>
    <x:col min="5" max="5" width="12" customWidth="1"/>
    <x:col min="6" max="6" width="12" customWidth="1"/>
    <x:col min="7" max="7" width="12" customWidth="1"/>
    <x:col min="8" max="8" width="12" customWidth="1"/>
    <x:col min="9" max="9" width="44" customWidth="1"/>
  </x:cols>
  <x:sheetData>
    <x:row r="1">
      <x:c r="A1" s="1" t="inlineStr">
        <x:is>
          <x:t xml:space="preserve">Illustrative Dilution Scenarios</x:t>
        </x:is>
      </x:c>
    </x:row>
    <x:row r="2">
      <x:c r="A2" s="2" t="n"/>
      <x:c r="B2" s="2" t="n"/>
      <x:c r="C2" s="2" t="n"/>
      <x:c r="D2" s="2" t="n"/>
      <x:c r="E2" s="2" t="n"/>
      <x:c r="F2" s="2" t="n"/>
      <x:c r="G2" s="2" t="n"/>
      <x:c r="H2" s="2" t="n"/>
      <x:c r="I2" s="2" t="n"/>
    </x:row>
    <x:row r="3">
      <x:c r="A3" s="29" t="inlineStr">
        <x:is>
          <x:t xml:space="preserve">Base shares outstanding</x:t>
        </x:is>
      </x:c>
      <x:c r="B3" s="30">
        <x:f>SUM('Current Cap Table'!I9:I12)</x:f>
        <x:v>100000</x:v>
      </x:c>
      <x:c r="C3" s="2" t="n"/>
      <x:c r="D3" s="2" t="n"/>
      <x:c r="E3" s="2" t="n"/>
      <x:c r="F3" s="2" t="n"/>
      <x:c r="G3" s="2" t="n"/>
      <x:c r="H3" s="2" t="n"/>
      <x:c r="I3" s="2" t="n"/>
    </x:row>
    <x:row r="4">
      <x:c r="A4" s="2" t="n"/>
      <x:c r="B4" s="2" t="n"/>
      <x:c r="C4" s="2" t="n"/>
      <x:c r="D4" s="2" t="n"/>
      <x:c r="E4" s="2" t="n"/>
      <x:c r="F4" s="2" t="n"/>
      <x:c r="G4" s="2" t="n"/>
      <x:c r="H4" s="2" t="n"/>
      <x:c r="I4" s="2" t="n"/>
    </x:row>
    <x:row r="5" ht="24" customHeight="1">
      <x:c r="A5" s="9" t="inlineStr">
        <x:is>
          <x:t xml:space="preserve">Scenario</x:t>
        </x:is>
      </x:c>
      <x:c r="B5" s="9" t="inlineStr">
        <x:is>
          <x:t xml:space="preserve">New Shares Issued</x:t>
        </x:is>
      </x:c>
      <x:c r="C5" s="9" t="inlineStr">
        <x:is>
          <x:t xml:space="preserve">Post-Money Shares</x:t>
        </x:is>
      </x:c>
      <x:c r="D5" s="9" t="inlineStr">
        <x:is>
          <x:t xml:space="preserve">Founder %</x:t>
        </x:is>
      </x:c>
      <x:c r="E5" s="9" t="inlineStr">
        <x:is>
          <x:t xml:space="preserve">Meridian %</x:t>
        </x:is>
      </x:c>
      <x:c r="F5" s="9" t="inlineStr">
        <x:is>
          <x:t xml:space="preserve">Al Noor %</x:t>
        </x:is>
      </x:c>
      <x:c r="G5" s="9" t="inlineStr">
        <x:is>
          <x:t xml:space="preserve">Crescent %</x:t>
        </x:is>
      </x:c>
      <x:c r="H5" s="9" t="inlineStr">
        <x:is>
          <x:t xml:space="preserve">New Investor %</x:t>
        </x:is>
      </x:c>
      <x:c r="I5" s="9" t="inlineStr">
        <x:is>
          <x:t xml:space="preserve">Comments</x:t>
        </x:is>
      </x:c>
    </x:row>
    <x:row r="6" ht="24" customHeight="1">
      <x:c r="A6" s="26" t="inlineStr">
        <x:is>
          <x:t xml:space="preserve">Current capitalization</x:t>
        </x:is>
      </x:c>
      <x:c r="B6" s="27" t="n">
        <x:v>0</x:v>
      </x:c>
      <x:c r="C6" s="31">
        <x:f>$B$3+B6</x:f>
        <x:v>100000</x:v>
      </x:c>
      <x:c r="D6" s="32">
        <x:f>'Current Cap Table'!I9/C6</x:f>
        <x:v>0.55</x:v>
      </x:c>
      <x:c r="E6" s="32">
        <x:f>'Current Cap Table'!I10/C6</x:f>
        <x:v>0.2</x:v>
      </x:c>
      <x:c r="F6" s="32">
        <x:f>'Current Cap Table'!I11/C6</x:f>
        <x:v>0.15</x:v>
      </x:c>
      <x:c r="G6" s="32">
        <x:f>'Current Cap Table'!I12/C6</x:f>
        <x:v>0.1</x:v>
      </x:c>
      <x:c r="H6" s="33">
        <x:f>B6/C6</x:f>
        <x:v>0</x:v>
      </x:c>
      <x:c r="I6" s="26" t="inlineStr">
        <x:is>
          <x:t xml:space="preserve">No dilution</x:t>
        </x:is>
      </x:c>
    </x:row>
    <x:row r="7" ht="24" customHeight="1">
      <x:c r="A7" s="26" t="inlineStr">
        <x:is>
          <x:t xml:space="preserve">10% primary PE issuance</x:t>
        </x:is>
      </x:c>
      <x:c r="B7" s="27" t="n">
        <x:v>11111</x:v>
      </x:c>
      <x:c r="C7" s="31">
        <x:f>$B$3+B7</x:f>
        <x:v>111111</x:v>
      </x:c>
      <x:c r="D7" s="32">
        <x:f>'Current Cap Table'!I9/C7</x:f>
        <x:v>0.495000495000495</x:v>
      </x:c>
      <x:c r="E7" s="32">
        <x:f>'Current Cap Table'!I10/C7</x:f>
        <x:v>0.18000018000018</x:v>
      </x:c>
      <x:c r="F7" s="32">
        <x:f>'Current Cap Table'!I11/C7</x:f>
        <x:v>0.135000135000135</x:v>
      </x:c>
      <x:c r="G7" s="32">
        <x:f>'Current Cap Table'!I12/C7</x:f>
        <x:v>0.09000009000009</x:v>
      </x:c>
      <x:c r="H7" s="33">
        <x:f>B7/C7</x:f>
        <x:v>0.0999990999991</x:v>
      </x:c>
      <x:c r="I7" s="26" t="inlineStr">
        <x:is>
          <x:t xml:space="preserve">Illustrative primary equity issuance equal to 10.0% post-money</x:t>
        </x:is>
      </x:c>
    </x:row>
    <x:row r="8" ht="24" customHeight="1">
      <x:c r="A8" s="26" t="inlineStr">
        <x:is>
          <x:t xml:space="preserve">15% primary PE issuance</x:t>
        </x:is>
      </x:c>
      <x:c r="B8" s="27" t="n">
        <x:v>17647</x:v>
      </x:c>
      <x:c r="C8" s="31">
        <x:f>$B$3+B8</x:f>
        <x:v>117647</x:v>
      </x:c>
      <x:c r="D8" s="32">
        <x:f>'Current Cap Table'!I9/C8</x:f>
        <x:v>0.4675002337501169</x:v>
      </x:c>
      <x:c r="E8" s="32">
        <x:f>'Current Cap Table'!I10/C8</x:f>
        <x:v>0.1700000850000425</x:v>
      </x:c>
      <x:c r="F8" s="32">
        <x:f>'Current Cap Table'!I11/C8</x:f>
        <x:v>0.12750006375003187</x:v>
      </x:c>
      <x:c r="G8" s="32">
        <x:f>'Current Cap Table'!I12/C8</x:f>
        <x:v>0.08500004250002124</x:v>
      </x:c>
      <x:c r="H8" s="33">
        <x:f>B8/C8</x:f>
        <x:v>0.1499995749997875</x:v>
      </x:c>
      <x:c r="I8" s="26" t="inlineStr">
        <x:is>
          <x:t xml:space="preserve">Illustrative primary issuance equal to c.15.0% post-money</x:t>
        </x:is>
      </x:c>
    </x:row>
    <x:row r="9" ht="24" customHeight="1">
      <x:c r="A9" s="26" t="inlineStr">
        <x:is>
          <x:t xml:space="preserve">5% management incentive pool</x:t>
        </x:is>
      </x:c>
      <x:c r="B9" s="27" t="n">
        <x:v>5263</x:v>
      </x:c>
      <x:c r="C9" s="31">
        <x:f>$B$3+B9</x:f>
        <x:v>105263</x:v>
      </x:c>
      <x:c r="D9" s="32">
        <x:f>'Current Cap Table'!I9/C9</x:f>
        <x:v>0.5225007837511756</x:v>
      </x:c>
      <x:c r="E9" s="32">
        <x:f>'Current Cap Table'!I10/C9</x:f>
        <x:v>0.1900002850004275</x:v>
      </x:c>
      <x:c r="F9" s="32">
        <x:f>'Current Cap Table'!I11/C9</x:f>
        <x:v>0.14250021375032063</x:v>
      </x:c>
      <x:c r="G9" s="32">
        <x:f>'Current Cap Table'!I12/C9</x:f>
        <x:v>0.09500014250021376</x:v>
      </x:c>
      <x:c r="H9" s="33">
        <x:f>B9/C9</x:f>
        <x:v>0.0499985749978625</x:v>
      </x:c>
      <x:c r="I9" s="26" t="inlineStr">
        <x:is>
          <x:t xml:space="preserve">Illustrative pool established at HoldCo level</x:t>
        </x:is>
      </x:c>
    </x:row>
  </x:sheetData>
  <x:mergeCells>
    <x:mergeCell ref="A1:I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6" customWidth="1"/>
    <x:col min="2" max="2" width="16" customWidth="1"/>
    <x:col min="3" max="3" width="12" customWidth="1"/>
    <x:col min="4" max="4" width="18" customWidth="1"/>
    <x:col min="5" max="5" width="26" customWidth="1"/>
    <x:col min="6" max="6" width="34" customWidth="1"/>
  </x:cols>
  <x:sheetData>
    <x:row r="1">
      <x:c r="A1" s="1" t="inlineStr">
        <x:is>
          <x:t xml:space="preserve">Ownership Summary</x:t>
        </x:is>
      </x:c>
    </x:row>
    <x:row r="2">
      <x:c r="A2" s="2" t="n"/>
      <x:c r="B2" s="2" t="n"/>
      <x:c r="C2" s="2" t="n"/>
      <x:c r="D2" s="2" t="n"/>
      <x:c r="E2" s="2" t="n"/>
      <x:c r="F2" s="2" t="n"/>
    </x:row>
    <x:row r="3">
      <x:c r="A3" s="2" t="n"/>
      <x:c r="B3" s="2" t="n"/>
      <x:c r="C3" s="2" t="n"/>
      <x:c r="D3" s="2" t="n"/>
      <x:c r="E3" s="2" t="n"/>
      <x:c r="F3" s="2" t="n"/>
    </x:row>
    <x:row r="4" ht="24" customHeight="1">
      <x:c r="A4" s="9" t="inlineStr">
        <x:is>
          <x:t xml:space="preserve">Shareholder</x:t>
        </x:is>
      </x:c>
      <x:c r="B4" s="9" t="inlineStr">
        <x:is>
          <x:t xml:space="preserve">Current Shares</x:t>
        </x:is>
      </x:c>
      <x:c r="C4" s="9" t="inlineStr">
        <x:is>
          <x:t xml:space="preserve">Ownership %</x:t>
        </x:is>
      </x:c>
      <x:c r="D4" s="9" t="inlineStr">
        <x:is>
          <x:t xml:space="preserve">Paid-In Capital (AED)</x:t>
        </x:is>
      </x:c>
      <x:c r="E4" s="9" t="inlineStr">
        <x:is>
          <x:t xml:space="preserve">Holder Category</x:t>
        </x:is>
      </x:c>
      <x:c r="F4" s="9" t="inlineStr">
        <x:is>
          <x:t xml:space="preserve">Control Observation</x:t>
        </x:is>
      </x:c>
    </x:row>
    <x:row r="5" ht="24" customHeight="1">
      <x:c r="A5" s="34" t="str">
        <x:f>'Current Cap Table'!A9</x:f>
        <x:v>Aurelia Holdings FZ-LLC</x:v>
      </x:c>
      <x:c r="B5" s="35">
        <x:f>'Current Cap Table'!I9</x:f>
        <x:v>55000</x:v>
      </x:c>
      <x:c r="C5" s="32">
        <x:f>'Current Cap Table'!J9</x:f>
        <x:v>0.55</x:v>
      </x:c>
      <x:c r="D5" s="35">
        <x:f>'Current Cap Table'!K9</x:f>
        <x:v>55000000</x:v>
      </x:c>
      <x:c r="E5" s="34" t="str">
        <x:f>'Current Cap Table'!B9</x:f>
        <x:v>Founder holding company</x:v>
      </x:c>
      <x:c r="F5" s="26" t="inlineStr">
        <x:is>
          <x:t xml:space="preserve">Founder retains majority control</x:t>
        </x:is>
      </x:c>
    </x:row>
    <x:row r="6" ht="24" customHeight="1">
      <x:c r="A6" s="34" t="str">
        <x:f>'Current Cap Table'!A10</x:f>
        <x:v>Meridian Global Real Estate Ltd</x:v>
      </x:c>
      <x:c r="B6" s="35">
        <x:f>'Current Cap Table'!I10</x:f>
        <x:v>20000</x:v>
      </x:c>
      <x:c r="C6" s="32">
        <x:f>'Current Cap Table'!J10</x:f>
        <x:v>0.2</x:v>
      </x:c>
      <x:c r="D6" s="35">
        <x:f>'Current Cap Table'!K10</x:f>
        <x:v>20000000</x:v>
      </x:c>
      <x:c r="E6" s="34" t="str">
        <x:f>'Current Cap Table'!B10</x:f>
        <x:v>Regional real estate investment group</x:v>
      </x:c>
      <x:c r="F6" s="26" t="inlineStr">
        <x:is>
          <x:t xml:space="preserve">Minority institutional investor with governance rights</x:t>
        </x:is>
      </x:c>
    </x:row>
    <x:row r="7" ht="24" customHeight="1">
      <x:c r="A7" s="34" t="str">
        <x:f>'Current Cap Table'!A11</x:f>
        <x:v>Al Noor Capital Investments LLC</x:v>
      </x:c>
      <x:c r="B7" s="35">
        <x:f>'Current Cap Table'!I11</x:f>
        <x:v>15000</x:v>
      </x:c>
      <x:c r="C7" s="32">
        <x:f>'Current Cap Table'!J11</x:f>
        <x:v>0.15</x:v>
      </x:c>
      <x:c r="D7" s="35">
        <x:f>'Current Cap Table'!K11</x:f>
        <x:v>15000000</x:v>
      </x:c>
      <x:c r="E7" s="34" t="str">
        <x:f>'Current Cap Table'!B11</x:f>
        <x:v>Family office investor</x:v>
      </x:c>
      <x:c r="F7" s="26" t="inlineStr">
        <x:is>
          <x:t xml:space="preserve">Strategic family office minority stake</x:t>
        </x:is>
      </x:c>
    </x:row>
    <x:row r="8" ht="24" customHeight="1">
      <x:c r="A8" s="34" t="str">
        <x:f>'Current Cap Table'!A12</x:f>
        <x:v>Crescent Strategic Investments Ltd</x:v>
      </x:c>
      <x:c r="B8" s="35">
        <x:f>'Current Cap Table'!I12</x:f>
        <x:v>10000</x:v>
      </x:c>
      <x:c r="C8" s="32">
        <x:f>'Current Cap Table'!J12</x:f>
        <x:v>0.1</x:v>
      </x:c>
      <x:c r="D8" s="35">
        <x:f>'Current Cap Table'!K12</x:f>
        <x:v>10000000</x:v>
      </x:c>
      <x:c r="E8" s="34" t="str">
        <x:f>'Current Cap Table'!B12</x:f>
        <x:v>Strategic investor</x:v>
      </x:c>
      <x:c r="F8" s="26" t="inlineStr">
        <x:is>
          <x:t xml:space="preserve">Minority strategic investor; no control position</x:t>
        </x:is>
      </x:c>
    </x:row>
    <x:row r="9" ht="24" customHeight="1">
      <x:c r="A9" s="2" t="n"/>
      <x:c r="B9" s="2" t="n"/>
      <x:c r="C9" s="2" t="n"/>
      <x:c r="D9" s="2" t="n"/>
      <x:c r="E9" s="2" t="n"/>
      <x:c r="F9" s="2" t="n"/>
    </x:row>
    <x:row r="10" ht="24" customHeight="1">
      <x:c r="A10" s="2" t="inlineStr">
        <x:is>
          <x:t xml:space="preserve"/>
        </x:is>
      </x:c>
      <x:c r="B10" s="2" t="n"/>
      <x:c r="C10" s="2" t="n"/>
      <x:c r="D10" s="2" t="n"/>
      <x:c r="E10" s="2" t="n"/>
      <x:c r="F10" s="2" t="n"/>
    </x:row>
    <x:row r="11" ht="24" customHeight="1">
      <x:c r="A11" s="2" t="inlineStr">
        <x:is>
          <x:t xml:space="preserve"/>
        </x:is>
      </x:c>
      <x:c r="B11" s="2" t="n"/>
      <x:c r="C11" s="2" t="n"/>
      <x:c r="D11" s="2" t="n"/>
      <x:c r="E11" s="2" t="n"/>
      <x:c r="F11" s="2" t="n"/>
    </x:row>
    <x:row r="12" ht="24" customHeight="1">
      <x:c r="A12" s="2" t="n"/>
      <x:c r="B12" s="2" t="n"/>
      <x:c r="C12" s="2" t="n"/>
      <x:c r="D12" s="2" t="n"/>
      <x:c r="E12" s="2" t="n"/>
      <x:c r="F12" s="2" t="n"/>
    </x:row>
    <x:row r="13" ht="24" customHeight="1">
      <x:c r="A13" s="5" t="inlineStr">
        <x:is>
          <x:t xml:space="preserve">Key Metrics</x:t>
        </x:is>
      </x:c>
      <x:c r="C13" s="2" t="n"/>
      <x:c r="D13" s="2" t="n"/>
      <x:c r="E13" s="2" t="n"/>
      <x:c r="F13" s="2" t="n"/>
    </x:row>
    <x:row r="14" ht="24" customHeight="1">
      <x:c r="A14" s="29" t="inlineStr">
        <x:is>
          <x:t xml:space="preserve">Total shareholders</x:t>
        </x:is>
      </x:c>
      <x:c r="B14" s="25">
        <x:f>COUNTA(A5:A8)</x:f>
        <x:v>4</x:v>
      </x:c>
      <x:c r="C14" s="2" t="n"/>
      <x:c r="D14" s="2" t="n"/>
      <x:c r="E14" s="2" t="n"/>
      <x:c r="F14" s="2" t="n"/>
    </x:row>
    <x:row r="15" ht="24" customHeight="1">
      <x:c r="A15" s="29" t="inlineStr">
        <x:is>
          <x:t xml:space="preserve">Founder concentration</x:t>
        </x:is>
      </x:c>
      <x:c r="B15" s="24">
        <x:f>MAX(C5:C8)</x:f>
        <x:v>0.55</x:v>
      </x:c>
      <x:c r="C15" s="2" t="n"/>
      <x:c r="D15" s="2" t="n"/>
      <x:c r="E15" s="2" t="n"/>
      <x:c r="F15" s="2" t="n"/>
    </x:row>
    <x:row r="16" ht="24" customHeight="1">
      <x:c r="A16" s="29" t="inlineStr">
        <x:is>
          <x:t xml:space="preserve">External investor ownership</x:t>
        </x:is>
      </x:c>
      <x:c r="B16" s="24">
        <x:f>SUM(C6:C8)</x:f>
        <x:v>0.44999999999999996</x:v>
      </x:c>
      <x:c r="C16" s="2" t="n"/>
      <x:c r="D16" s="2" t="n"/>
      <x:c r="E16" s="2" t="n"/>
      <x:c r="F16" s="2" t="n"/>
    </x:row>
    <x:row r="17" ht="24" customHeight="1">
      <x:c r="A17" s="29" t="inlineStr">
        <x:is>
          <x:t xml:space="preserve">Top two holders</x:t>
        </x:is>
      </x:c>
      <x:c r="B17" s="24">
        <x:f>LARGE(C5:C8,1)+LARGE(C5:C8,2)</x:f>
        <x:v>0.75</x:v>
      </x:c>
      <x:c r="C17" s="2" t="n"/>
      <x:c r="D17" s="2" t="n"/>
      <x:c r="E17" s="2" t="n"/>
      <x:c r="F17" s="2" t="n"/>
    </x:row>
    <x:row r="18" ht="24" customHeight="1"/>
  </x:sheetData>
  <x:mergeCells>
    <x:mergeCell ref="A13:B13"/>
    <x:mergeCell ref="A1:F1"/>
  </x:mergeCells>
  <x:pageMargins left="0.7" right="0.7" top="0.75" bottom="0.75" header="0.3" footer="0.3"/>
</x:worksheet>
</file>