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worksheets/sheet4.xml" ContentType="application/vnd.openxmlformats-officedocument.spreadsheetml.worksheet+xml"/>
  <Override PartName="/xl/comments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ada7208eb247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stment Summary" sheetId="1" r:id="Rd3b0a82aa2e94ed3"/>
    <x:sheet xmlns:r="http://schemas.openxmlformats.org/officeDocument/2006/relationships" name="Equity Ownership Impact" sheetId="2" r:id="R1206615022424e7b"/>
    <x:sheet xmlns:r="http://schemas.openxmlformats.org/officeDocument/2006/relationships" name="Convertible Note Model" sheetId="3" r:id="R8ac1d076637e46d4"/>
    <x:sheet xmlns:r="http://schemas.openxmlformats.org/officeDocument/2006/relationships" name="SAFE Conversion Model" sheetId="4" r:id="R95f70c74e03e42b1"/>
    <x:sheet xmlns:r="http://schemas.openxmlformats.org/officeDocument/2006/relationships" name="Dilution Analysis" sheetId="5" r:id="R10afd1cec5fe4c1d"/>
    <x:sheet xmlns:r="http://schemas.openxmlformats.org/officeDocument/2006/relationships" name="Capital Structure Post-Investment" sheetId="6" r:id="R92d0cf1b209f47a1"/>
    <x:sheet xmlns:r="http://schemas.openxmlformats.org/officeDocument/2006/relationships" name="Use of Funds Allocation" sheetId="7" r:id="R95ff959efdff4ac9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B4" authorId="0">
      <x:text>
        <x:r>
          <x:t>Illustrative preferred equity tranche for diligence-style modeling.</x:t>
        </x:r>
      </x:text>
    </x:comment>
  </x:commentList>
</x:comments>
</file>

<file path=xl/comments2.xml><?xml version="1.0" encoding="utf-8"?>
<x:comments xmlns:x="http://schemas.openxmlformats.org/spreadsheetml/2006/main">
  <x:authors>
    <x:author>OpenAI</x:author>
  </x:authors>
  <x:commentList>
    <x:comment ref="E4" authorId="0">
      <x:text>
        <x:r>
          <x:t>Conversion price based on lower of 20% discount and valuation cap-derived price.</x:t>
        </x:r>
      </x:text>
    </x:comment>
  </x:commentList>
</x:comments>
</file>

<file path=xl/comments3.xml><?xml version="1.0" encoding="utf-8"?>
<x:comments xmlns:x="http://schemas.openxmlformats.org/spreadsheetml/2006/main">
  <x:authors>
    <x:author>OpenAI</x:author>
  </x:authors>
  <x:commentList>
    <x:comment ref="E4" authorId="0">
      <x:text>
        <x:r>
          <x:t>SAFE conversion price based on lower of discount and cap pricing.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$#,##0_);[Red]($#,##0)"/>
    <x:numFmt numFmtId="165" formatCode="0.0%"/>
    <x:numFmt numFmtId="166" formatCode="$0.00"/>
  </x:numFmts>
  <x:fonts count="5">
    <x:font>
      <x:sz val="11"/>
      <x:color theme="1"/>
      <x:name val="Calibri"/>
      <x:family val="2"/>
      <x:scheme val="minor"/>
    </x:font>
    <x:font>
      <x:b/>
      <x:sz val="14"/>
      <x:color rgb="001F4E78"/>
    </x:font>
    <x:font>
      <x:i/>
      <x:color rgb="00666666"/>
    </x:font>
    <x:font>
      <x:b/>
      <x:color rgb="00FFFFFF"/>
    </x:font>
    <x:font>
      <x:b/>
    </x:font>
  </x:fonts>
  <x:fills count="3">
    <x:fill>
      <x:patternFill patternType="none"/>
    </x:fill>
    <x:fill>
      <x:patternFill patternType="gray125"/>
    </x:fill>
    <x:fill>
      <x:patternFill patternType="solid">
        <x:fgColor rgb="00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/>
    <x:xf numFmtId="0" fontId="2" fillId="0" borderId="0" xfId="0"/>
    <x:xf numFmtId="0" fontId="3" fillId="2" borderId="0" xfId="0" applyAlignment="1">
      <x:alignment horizontal="center" vertical="center" wrapText="1"/>
    </x:xf>
    <x:xf numFmtId="164" fontId="0" fillId="0" borderId="0" xfId="0"/>
    <x:xf numFmtId="165" fontId="0" fillId="0" borderId="0" xfId="0"/>
    <x:xf numFmtId="166" fontId="0" fillId="0" borderId="0" xfId="0"/>
    <x:xf numFmtId="3" fontId="0" fillId="0" borderId="0" xfId="0"/>
    <x:xf numFmtId="0" fontId="4" fillId="0" borderId="0" xfId="0"/>
    <x:xf numFmtId="164" fontId="4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59a0bb67c54f87" /><Relationship Type="http://schemas.openxmlformats.org/officeDocument/2006/relationships/theme" Target="/xl/theme/theme1.xml" Id="Rad6ca2fc4de04567" /><Relationship Type="http://schemas.openxmlformats.org/officeDocument/2006/relationships/sharedStrings" Target="/xl/sharedStrings.xml" Id="R71d560ac1ba94af6" /><Relationship Type="http://schemas.openxmlformats.org/officeDocument/2006/relationships/worksheet" Target="/xl/worksheets/sheet1.xml" Id="Rd3b0a82aa2e94ed3" /><Relationship Type="http://schemas.openxmlformats.org/officeDocument/2006/relationships/worksheet" Target="/xl/worksheets/sheet2.xml" Id="R1206615022424e7b" /><Relationship Type="http://schemas.openxmlformats.org/officeDocument/2006/relationships/worksheet" Target="/xl/worksheets/sheet3.xml" Id="R8ac1d076637e46d4" /><Relationship Type="http://schemas.openxmlformats.org/officeDocument/2006/relationships/worksheet" Target="/xl/worksheets/sheet4.xml" Id="R95f70c74e03e42b1" /><Relationship Type="http://schemas.openxmlformats.org/officeDocument/2006/relationships/worksheet" Target="/xl/worksheets/sheet5.xml" Id="R10afd1cec5fe4c1d" /><Relationship Type="http://schemas.openxmlformats.org/officeDocument/2006/relationships/worksheet" Target="/xl/worksheets/sheet6.xml" Id="R92d0cf1b209f47a1" /><Relationship Type="http://schemas.openxmlformats.org/officeDocument/2006/relationships/worksheet" Target="/xl/worksheets/sheet7.xml" Id="R95ff959efdff4ac9" /><Relationship Type="http://schemas.microsoft.com/office/2017/10/relationships/person" Target="/xl/persons/person.xml" Id="R8fcb56fb9e72496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12b3fbe41b6468a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9f8e53109b11428e" /></Relationships>
</file>

<file path=xl/drawings/charts/chart1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Post-Investment Ownership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/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'Capital Structure Post-Investment'!C3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cat>
            <c:strRef>
              <c:f>'Capital Structure Post-Investment'!$A$4:$A$9</c:f>
              <c:strCache>
                <c:ptCount val="0"/>
              </c:strCache>
            </c:strRef>
          </c:cat>
          <c:val>
            <c:numRef>
              <c:f>'Capital Structure Post-Investment'!$C$4:$C$9</c:f>
              <c:numCache>
                <c:formatCode>General</c:formatCode>
                <c:ptCount val="0"/>
              </c:numCache>
            </c:numRef>
          </c:val>
        </c:ser>
        <c:firstSliceAng val="0"/>
      </c:pieChart>
    </c:plotArea>
    <c:legend>
      <c:legendPos val="r"/>
    </c:legend>
    <c:plotVisOnly val="1"/>
    <c:dispBlanksAs val="gap"/>
  </c:chart>
</c:chartSpace>
</file>

<file path=xl/drawings/charts/chart2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Use of Proceeds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/>
          </a:pPr>
        </a:p>
      </c:txPr>
    </c:title>
    <c:autoTitleDeleted val="0"/>
    <c:plotArea>
      <c:layout/>
      <c:barChart>
        <c:barDir val="col"/>
        <c:grouping val="clustered"/>
        <c:ser>
          <c:idx val="0"/>
          <c:order val="0"/>
          <c:tx>
            <c:strRef>
              <c:f>'Use of Funds Allocation'!B3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cat>
            <c:strRef>
              <c:f>'Use of Funds Allocation'!$A$4:$A$9</c:f>
              <c:strCache>
                <c:ptCount val="0"/>
              </c:strCache>
            </c:strRef>
          </c:cat>
          <c:val>
            <c:numRef>
              <c:f>'Use of Funds Allocation'!$B$4:$B$9</c:f>
              <c:numCache>
                <c:formatCode/>
                <c:ptCount val="0"/>
              </c:numCache>
            </c:numRef>
          </c:val>
        </c:ser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numFmt formatCode=""/>
        <c:majorTickMark val="none"/>
        <c:minorTickMark val="none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r"/>
    </c:legend>
    <c:plotVisOnly val="1"/>
    <c:dispBlanksAs val="gap"/>
  </c:chart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2</xdr:row>
      <xdr:rowOff>0</xdr:rowOff>
    </xdr:from>
    <xdr:to>
      <xdr:col>2</xdr:col>
      <xdr:colOff>0</xdr:colOff>
      <xdr:row>10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12b3fbe41b6468a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2</xdr:col>
      <xdr:colOff>0</xdr:colOff>
      <xdr:row>10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f8e53109b11428e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OpenAI" id="{F2A1DEE0-59C5-CE0D-5D9C-AF38749BCDA0}"/>
  <xltc:person displayName="OpenAI" id="{4CF859FB-3C75-9053-97F2-7CCCC9889FA8}"/>
  <xltc:person displayName="OpenAI" id="{33560741-CFB9-32E8-B91D-D0D060B466B9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6c1564b40dc44655" /><Relationship Type="http://schemas.openxmlformats.org/officeDocument/2006/relationships/vmlDrawing" Target="/xl/drawings/vmldrawing.vml" Id="Rd0ab5ede64014d6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2.xml" Id="Rf8480a4268e84b92" /><Relationship Type="http://schemas.openxmlformats.org/officeDocument/2006/relationships/vmlDrawing" Target="/xl/drawings/vmldrawing2.vml" Id="Re260f47c9192445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3.xml" Id="R0d79aab10d79408d" /><Relationship Type="http://schemas.openxmlformats.org/officeDocument/2006/relationships/vmlDrawing" Target="/xl/drawings/vmldrawing3.vml" Id="R457a86ec0c4144e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80fcf31393fa488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2.xml" Id="R3a8a5dfba88c470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customWidth="1"/>
    <x:col min="2" max="2" width="18" customWidth="1"/>
    <x:col min="3" max="3" width="70" customWidth="1"/>
  </x:cols>
  <x:sheetData>
    <x:row r="1">
      <x:c r="A1" s="1" t="inlineStr">
        <x:is>
          <x:t xml:space="preserve">Proposed Investment Terms – Investment Summary</x:t>
        </x:is>
      </x:c>
    </x:row>
    <x:row r="2">
      <x:c r="A2" s="2" t="inlineStr">
        <x:is>
          <x:t xml:space="preserve">Illustrative financing model | All amounts in USD</x:t>
        </x:is>
      </x:c>
    </x:row>
    <x:row r="3">
      <x:c r="A3" s="3" t="inlineStr">
        <x:is>
          <x:t xml:space="preserve">Investment Type</x:t>
        </x:is>
      </x:c>
      <x:c r="B3" s="3" t="inlineStr">
        <x:is>
          <x:t xml:space="preserve">Amount (USD)</x:t>
        </x:is>
      </x:c>
      <x:c r="C3" s="3" t="inlineStr">
        <x:is>
          <x:t xml:space="preserve">Key Terms</x:t>
        </x:is>
      </x:c>
    </x:row>
    <x:row r="4">
      <x:c r="A4" t="inlineStr">
        <x:is>
          <x:t xml:space="preserve">Equity Investment</x:t>
        </x:is>
      </x:c>
      <x:c r="B4" s="4" t="n">
        <x:v>280000000</x:v>
      </x:c>
      <x:c r="C4" t="inlineStr">
        <x:is>
          <x:t xml:space="preserve">Series C Preferred at $20.00/share; 1.0x non-participating preference</x:t>
        </x:is>
      </x:c>
    </x:row>
    <x:row r="5">
      <x:c r="A5" t="inlineStr">
        <x:is>
          <x:t xml:space="preserve">Convertible Notes</x:t>
        </x:is>
      </x:c>
      <x:c r="B5" s="4" t="n">
        <x:v>90000000</x:v>
      </x:c>
      <x:c r="C5" t="inlineStr">
        <x:is>
          <x:t xml:space="preserve">5.0% coupon; 24-month maturity; 20% discount; $1.9bn cap</x:t>
        </x:is>
      </x:c>
    </x:row>
    <x:row r="6">
      <x:c r="A6" t="inlineStr">
        <x:is>
          <x:t xml:space="preserve">SAFE Agreements</x:t>
        </x:is>
      </x:c>
      <x:c r="B6" s="4" t="n">
        <x:v>50000000</x:v>
      </x:c>
      <x:c r="C6" t="inlineStr">
        <x:is>
          <x:t xml:space="preserve">22.5% discount; $1.85bn cap; qualified financing conversion</x:t>
        </x:is>
      </x:c>
    </x:row>
  </x:sheetData>
  <x:pageMargins left="0.7" right="0.7" top="0.75" bottom="0.75" header="0.3" footer="0.3"/>
  <x:legacyDrawing xmlns:r="http://schemas.openxmlformats.org/officeDocument/2006/relationships" r:id="Rd0ab5ede64014d68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22" customWidth="1"/>
    <x:col min="3" max="3" width="22" customWidth="1"/>
  </x:cols>
  <x:sheetData>
    <x:row r="1">
      <x:c r="A1" s="1" t="inlineStr">
        <x:is>
          <x:t xml:space="preserve">Equity Ownership Impact</x:t>
        </x:is>
      </x:c>
    </x:row>
    <x:row r="2">
      <x:c r="A2" s="2" t="inlineStr">
        <x:is>
          <x:t xml:space="preserve">Illustrative financing model | All amounts in USD</x:t>
        </x:is>
      </x:c>
    </x:row>
    <x:row r="3">
      <x:c r="A3" s="3" t="inlineStr">
        <x:is>
          <x:t xml:space="preserve">Shareholder</x:t>
        </x:is>
      </x:c>
      <x:c r="B3" s="3" t="inlineStr">
        <x:is>
          <x:t xml:space="preserve">Ownership Before Financing</x:t>
        </x:is>
      </x:c>
      <x:c r="C3" s="3" t="inlineStr">
        <x:is>
          <x:t xml:space="preserve">Ownership After Financing</x:t>
        </x:is>
      </x:c>
    </x:row>
    <x:row r="4">
      <x:c r="A4" t="inlineStr">
        <x:is>
          <x:t xml:space="preserve">Founder Holding Entity</x:t>
        </x:is>
      </x:c>
      <x:c r="B4" s="5" t="n">
        <x:v>0.55</x:v>
      </x:c>
      <x:c r="C4" s="5" t="n">
        <x:v>0.4476975087799915</x:v>
      </x:c>
    </x:row>
    <x:row r="5">
      <x:c r="A5" t="inlineStr">
        <x:is>
          <x:t xml:space="preserve">Regional Investment Group</x:t>
        </x:is>
      </x:c>
      <x:c r="B5" s="5" t="n">
        <x:v>0.25</x:v>
      </x:c>
      <x:c r="C5" s="5" t="n">
        <x:v>0.2034988676272688</x:v>
      </x:c>
    </x:row>
    <x:row r="6">
      <x:c r="A6" t="inlineStr">
        <x:is>
          <x:t xml:space="preserve">Family Office Investor</x:t>
        </x:is>
      </x:c>
      <x:c r="B6" s="5" t="n">
        <x:v>0.2</x:v>
      </x:c>
      <x:c r="C6" s="5" t="n">
        <x:v>0.1627990941018151</x:v>
      </x:c>
    </x:row>
    <x:row r="7">
      <x:c r="A7" t="inlineStr">
        <x:is>
          <x:t xml:space="preserve">Series C Preferred Investors</x:t>
        </x:is>
      </x:c>
      <x:c r="B7" s="5" t="n">
        <x:v>0</x:v>
      </x:c>
      <x:c r="C7" s="5" t="n">
        <x:v>0.1139593658712705</x:v>
      </x:c>
    </x:row>
    <x:row r="8">
      <x:c r="A8" t="inlineStr">
        <x:is>
          <x:t xml:space="preserve">Convertible Note Investors</x:t>
        </x:is>
      </x:c>
      <x:c r="B8" s="5" t="n">
        <x:v>0</x:v>
      </x:c>
      <x:c r="C8" s="5" t="n">
        <x:v>0.04578724521613549</x:v>
      </x:c>
    </x:row>
    <x:row r="9">
      <x:c r="A9" t="inlineStr">
        <x:is>
          <x:t xml:space="preserve">SAFE Investors</x:t>
        </x:is>
      </x:c>
      <x:c r="B9" s="5" t="n">
        <x:v>0</x:v>
      </x:c>
      <x:c r="C9" s="5" t="n">
        <x:v>0.02625791840351856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18" customWidth="1"/>
    <x:col min="3" max="3" width="14" customWidth="1"/>
    <x:col min="4" max="4" width="20" customWidth="1"/>
    <x:col min="5" max="5" width="16" customWidth="1"/>
  </x:cols>
  <x:sheetData>
    <x:row r="1">
      <x:c r="A1" s="1" t="inlineStr">
        <x:is>
          <x:t xml:space="preserve">Convertible Note Model</x:t>
        </x:is>
      </x:c>
    </x:row>
    <x:row r="2">
      <x:c r="A2" s="2" t="inlineStr">
        <x:is>
          <x:t xml:space="preserve">Illustrative financing model | All amounts in USD</x:t>
        </x:is>
      </x:c>
    </x:row>
    <x:row r="3">
      <x:c r="A3" s="3" t="inlineStr">
        <x:is>
          <x:t xml:space="preserve">Investor</x:t>
        </x:is>
      </x:c>
      <x:c r="B3" s="3" t="inlineStr">
        <x:is>
          <x:t xml:space="preserve">Note Amount (USD)</x:t>
        </x:is>
      </x:c>
      <x:c r="C3" s="3" t="inlineStr">
        <x:is>
          <x:t xml:space="preserve">Interest Rate</x:t>
        </x:is>
      </x:c>
      <x:c r="D3" s="3" t="inlineStr">
        <x:is>
          <x:t xml:space="preserve">Valuation Cap (USD)</x:t>
        </x:is>
      </x:c>
      <x:c r="E3" s="3" t="inlineStr">
        <x:is>
          <x:t xml:space="preserve">Conversion Price</x:t>
        </x:is>
      </x:c>
    </x:row>
    <x:row r="4">
      <x:c r="A4" t="inlineStr">
        <x:is>
          <x:t xml:space="preserve">Institutional Note Investor A</x:t>
        </x:is>
      </x:c>
      <x:c r="B4" s="4" t="n">
        <x:v>50000000</x:v>
      </x:c>
      <x:c r="C4" s="5" t="n">
        <x:v>0.05</x:v>
      </x:c>
      <x:c r="D4" s="4" t="n">
        <x:v>1900000000</x:v>
      </x:c>
      <x:c r="E4" s="6" t="n">
        <x:v>16</x:v>
      </x:c>
    </x:row>
    <x:row r="5">
      <x:c r="A5" t="inlineStr">
        <x:is>
          <x:t xml:space="preserve">Institutional Note Investor B</x:t>
        </x:is>
      </x:c>
      <x:c r="B5" s="4" t="n">
        <x:v>25000000</x:v>
      </x:c>
      <x:c r="C5" s="5" t="n">
        <x:v>0.05</x:v>
      </x:c>
      <x:c r="D5" s="4" t="n">
        <x:v>1900000000</x:v>
      </x:c>
      <x:c r="E5" s="6" t="n">
        <x:v>16</x:v>
      </x:c>
    </x:row>
    <x:row r="6">
      <x:c r="A6" t="inlineStr">
        <x:is>
          <x:t xml:space="preserve">Strategic Note Investor</x:t>
        </x:is>
      </x:c>
      <x:c r="B6" s="4" t="n">
        <x:v>15000000</x:v>
      </x:c>
      <x:c r="C6" s="5" t="n">
        <x:v>0.05</x:v>
      </x:c>
      <x:c r="D6" s="4" t="n">
        <x:v>1900000000</x:v>
      </x:c>
      <x:c r="E6" s="6" t="n">
        <x:v>16</x:v>
      </x:c>
    </x:row>
  </x:sheetData>
  <x:pageMargins left="0.7" right="0.7" top="0.75" bottom="0.75" header="0.3" footer="0.3"/>
  <x:legacyDrawing xmlns:r="http://schemas.openxmlformats.org/officeDocument/2006/relationships" r:id="Re260f47c91924456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18" customWidth="1"/>
    <x:col min="3" max="3" width="14" customWidth="1"/>
    <x:col min="4" max="4" width="20" customWidth="1"/>
    <x:col min="5" max="5" width="16" customWidth="1"/>
  </x:cols>
  <x:sheetData>
    <x:row r="1">
      <x:c r="A1" s="1" t="inlineStr">
        <x:is>
          <x:t xml:space="preserve">SAFE Conversion Model</x:t>
        </x:is>
      </x:c>
    </x:row>
    <x:row r="2">
      <x:c r="A2" s="2" t="inlineStr">
        <x:is>
          <x:t xml:space="preserve">Illustrative financing model | All amounts in USD</x:t>
        </x:is>
      </x:c>
    </x:row>
    <x:row r="3">
      <x:c r="A3" s="3" t="inlineStr">
        <x:is>
          <x:t xml:space="preserve">Investor</x:t>
        </x:is>
      </x:c>
      <x:c r="B3" s="3" t="inlineStr">
        <x:is>
          <x:t xml:space="preserve">SAFE Amount (USD)</x:t>
        </x:is>
      </x:c>
      <x:c r="C3" s="3" t="inlineStr">
        <x:is>
          <x:t xml:space="preserve">Discount Rate</x:t>
        </x:is>
      </x:c>
      <x:c r="D3" s="3" t="inlineStr">
        <x:is>
          <x:t xml:space="preserve">Valuation Cap (USD)</x:t>
        </x:is>
      </x:c>
      <x:c r="E3" s="3" t="inlineStr">
        <x:is>
          <x:t xml:space="preserve">Conversion Price</x:t>
        </x:is>
      </x:c>
    </x:row>
    <x:row r="4">
      <x:c r="A4" t="inlineStr">
        <x:is>
          <x:t xml:space="preserve">Strategic Partner SAFE</x:t>
        </x:is>
      </x:c>
      <x:c r="B4" s="4" t="n">
        <x:v>25000000</x:v>
      </x:c>
      <x:c r="C4" s="5" t="n">
        <x:v>0.225</x:v>
      </x:c>
      <x:c r="D4" s="4" t="n">
        <x:v>1850000000</x:v>
      </x:c>
      <x:c r="E4" s="6" t="n">
        <x:v>15.5</x:v>
      </x:c>
    </x:row>
    <x:row r="5">
      <x:c r="A5" t="inlineStr">
        <x:is>
          <x:t xml:space="preserve">Family Office SAFE Pool</x:t>
        </x:is>
      </x:c>
      <x:c r="B5" s="4" t="n">
        <x:v>15000000</x:v>
      </x:c>
      <x:c r="C5" s="5" t="n">
        <x:v>0.225</x:v>
      </x:c>
      <x:c r="D5" s="4" t="n">
        <x:v>1850000000</x:v>
      </x:c>
      <x:c r="E5" s="6" t="n">
        <x:v>15.5</x:v>
      </x:c>
    </x:row>
    <x:row r="6">
      <x:c r="A6" t="inlineStr">
        <x:is>
          <x:t xml:space="preserve">Innovation Partner SAFE</x:t>
        </x:is>
      </x:c>
      <x:c r="B6" s="4" t="n">
        <x:v>10000000</x:v>
      </x:c>
      <x:c r="C6" s="5" t="n">
        <x:v>0.225</x:v>
      </x:c>
      <x:c r="D6" s="4" t="n">
        <x:v>1850000000</x:v>
      </x:c>
      <x:c r="E6" s="6" t="n">
        <x:v>15.5</x:v>
      </x:c>
    </x:row>
  </x:sheetData>
  <x:pageMargins left="0.7" right="0.7" top="0.75" bottom="0.75" header="0.3" footer="0.3"/>
  <x:legacyDrawing xmlns:r="http://schemas.openxmlformats.org/officeDocument/2006/relationships" r:id="R457a86ec0c4144ec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6" customWidth="1"/>
    <x:col min="2" max="2" width="18" customWidth="1"/>
    <x:col min="3" max="3" width="22" customWidth="1"/>
    <x:col min="4" max="4" width="20" customWidth="1"/>
  </x:cols>
  <x:sheetData>
    <x:row r="1">
      <x:c r="A1" s="1" t="inlineStr">
        <x:is>
          <x:t xml:space="preserve">Dilution Analysis</x:t>
        </x:is>
      </x:c>
    </x:row>
    <x:row r="2">
      <x:c r="A2" s="2" t="inlineStr">
        <x:is>
          <x:t xml:space="preserve">Illustrative financing model | All amounts in USD</x:t>
        </x:is>
      </x:c>
    </x:row>
    <x:row r="3">
      <x:c r="A3" s="3" t="inlineStr">
        <x:is>
          <x:t xml:space="preserve">Scenario</x:t>
        </x:is>
      </x:c>
      <x:c r="B3" s="3" t="inlineStr">
        <x:is>
          <x:t xml:space="preserve">Founder Ownership</x:t>
        </x:is>
      </x:c>
      <x:c r="C3" s="3" t="inlineStr">
        <x:is>
          <x:t xml:space="preserve">Legacy Investor Ownership</x:t>
        </x:is>
      </x:c>
      <x:c r="D3" s="3" t="inlineStr">
        <x:is>
          <x:t xml:space="preserve">New Investor Ownership</x:t>
        </x:is>
      </x:c>
    </x:row>
    <x:row r="4">
      <x:c r="A4" t="inlineStr">
        <x:is>
          <x:t xml:space="preserve">Before financing</x:t>
        </x:is>
      </x:c>
      <x:c r="B4" s="5" t="n">
        <x:v>0.55</x:v>
      </x:c>
      <x:c r="C4" s="5" t="n">
        <x:v>0.45</x:v>
      </x:c>
      <x:c r="D4" s="5" t="n">
        <x:v>0</x:v>
      </x:c>
    </x:row>
    <x:row r="5">
      <x:c r="A5" t="inlineStr">
        <x:is>
          <x:t xml:space="preserve">After preferred equity only</x:t>
        </x:is>
      </x:c>
      <x:c r="B5" s="5" t="n">
        <x:v>0.4824561403508772</x:v>
      </x:c>
      <x:c r="C5" s="5" t="n">
        <x:v>0.3947368421052632</x:v>
      </x:c>
      <x:c r="D5" s="5" t="n">
        <x:v>0.1228070175438596</x:v>
      </x:c>
    </x:row>
    <x:row r="6">
      <x:c r="A6" t="inlineStr">
        <x:is>
          <x:t xml:space="preserve">After equity + notes</x:t>
        </x:is>
      </x:c>
      <x:c r="B6" s="5" t="n">
        <x:v>0.4597701149425287</x:v>
      </x:c>
      <x:c r="C6" s="5" t="n">
        <x:v>0.3761755485893417</x:v>
      </x:c>
      <x:c r="D6" s="5" t="n">
        <x:v>0.1640543364681296</x:v>
      </x:c>
    </x:row>
    <x:row r="7">
      <x:c r="A7" t="inlineStr">
        <x:is>
          <x:t xml:space="preserve">Fully diluted (equity + notes + SAFE)</x:t>
        </x:is>
      </x:c>
      <x:c r="B7" s="5" t="n">
        <x:v>0.4476975087799915</x:v>
      </x:c>
      <x:c r="C7" s="5" t="n">
        <x:v>0.3662979617290839</x:v>
      </x:c>
      <x:c r="D7" s="5" t="n">
        <x:v>0.1860045294909246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18" customWidth="1"/>
    <x:col min="3" max="3" width="20" customWidth="1"/>
  </x:cols>
  <x:sheetData>
    <x:row r="1">
      <x:c r="A1" s="1" t="inlineStr">
        <x:is>
          <x:t xml:space="preserve">Capital Structure Post-Investment</x:t>
        </x:is>
      </x:c>
    </x:row>
    <x:row r="2">
      <x:c r="A2" s="2" t="inlineStr">
        <x:is>
          <x:t xml:space="preserve">Illustrative financing model | All amounts in USD</x:t>
        </x:is>
      </x:c>
    </x:row>
    <x:row r="3">
      <x:c r="A3" s="3" t="inlineStr">
        <x:is>
          <x:t xml:space="preserve">Shareholder</x:t>
        </x:is>
      </x:c>
      <x:c r="B3" s="3" t="inlineStr">
        <x:is>
          <x:t xml:space="preserve">Shares Owned</x:t>
        </x:is>
      </x:c>
      <x:c r="C3" s="3" t="inlineStr">
        <x:is>
          <x:t xml:space="preserve">Ownership Percentage</x:t>
        </x:is>
      </x:c>
    </x:row>
    <x:row r="4">
      <x:c r="A4" t="inlineStr">
        <x:is>
          <x:t xml:space="preserve">Founder Holding Entity</x:t>
        </x:is>
      </x:c>
      <x:c r="B4" s="7" t="n">
        <x:v>55000000</x:v>
      </x:c>
      <x:c r="C4" s="5" t="n">
        <x:v>0.4476975087799915</x:v>
      </x:c>
    </x:row>
    <x:row r="5">
      <x:c r="A5" t="inlineStr">
        <x:is>
          <x:t xml:space="preserve">Regional Investment Group</x:t>
        </x:is>
      </x:c>
      <x:c r="B5" s="7" t="n">
        <x:v>25000000</x:v>
      </x:c>
      <x:c r="C5" s="5" t="n">
        <x:v>0.2034988676272688</x:v>
      </x:c>
    </x:row>
    <x:row r="6">
      <x:c r="A6" t="inlineStr">
        <x:is>
          <x:t xml:space="preserve">Family Office Investor</x:t>
        </x:is>
      </x:c>
      <x:c r="B6" s="7" t="n">
        <x:v>20000000</x:v>
      </x:c>
      <x:c r="C6" s="5" t="n">
        <x:v>0.1627990941018151</x:v>
      </x:c>
    </x:row>
    <x:row r="7">
      <x:c r="A7" t="inlineStr">
        <x:is>
          <x:t xml:space="preserve">Series C Preferred Investors</x:t>
        </x:is>
      </x:c>
      <x:c r="B7" s="7" t="n">
        <x:v>14000000</x:v>
      </x:c>
      <x:c r="C7" s="5" t="n">
        <x:v>0.1139593658712705</x:v>
      </x:c>
    </x:row>
    <x:row r="8">
      <x:c r="A8" t="inlineStr">
        <x:is>
          <x:t xml:space="preserve">Convertible Note Investors</x:t>
        </x:is>
      </x:c>
      <x:c r="B8" s="7" t="n">
        <x:v>5625000</x:v>
      </x:c>
      <x:c r="C8" s="5" t="n">
        <x:v>0.04578724521613549</x:v>
      </x:c>
    </x:row>
    <x:row r="9">
      <x:c r="A9" t="inlineStr">
        <x:is>
          <x:t xml:space="preserve">SAFE Investors</x:t>
        </x:is>
      </x:c>
      <x:c r="B9" s="7" t="n">
        <x:v>3225806.451612903</x:v>
      </x:c>
      <x:c r="C9" s="5" t="n">
        <x:v>0.02625791840351856</x:v>
      </x:c>
    </x:row>
  </x:sheetData>
  <x:pageMargins left="0.7" right="0.7" top="0.75" bottom="0.75" header="0.3" footer="0.3"/>
  <x:drawing xmlns:r="http://schemas.openxmlformats.org/officeDocument/2006/relationships" r:id="R80fcf31393fa4885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42" customWidth="1"/>
    <x:col min="2" max="2" width="18" customWidth="1"/>
  </x:cols>
  <x:sheetData>
    <x:row r="1">
      <x:c r="A1" s="1" t="inlineStr">
        <x:is>
          <x:t xml:space="preserve">Use of Funds Allocation</x:t>
        </x:is>
      </x:c>
    </x:row>
    <x:row r="2">
      <x:c r="A2" s="2" t="inlineStr">
        <x:is>
          <x:t xml:space="preserve">Illustrative financing model | All amounts in USD</x:t>
        </x:is>
      </x:c>
    </x:row>
    <x:row r="3">
      <x:c r="A3" s="3" t="inlineStr">
        <x:is>
          <x:t xml:space="preserve">Category</x:t>
        </x:is>
      </x:c>
      <x:c r="B3" s="3" t="inlineStr">
        <x:is>
          <x:t xml:space="preserve">Amount Allocated (USD)</x:t>
        </x:is>
      </x:c>
    </x:row>
    <x:row r="4">
      <x:c r="A4" t="inlineStr">
        <x:is>
          <x:t xml:space="preserve">Land Acquisition</x:t>
        </x:is>
      </x:c>
      <x:c r="B4" s="4" t="n">
        <x:v>120000000</x:v>
      </x:c>
    </x:row>
    <x:row r="5">
      <x:c r="A5" t="inlineStr">
        <x:is>
          <x:t xml:space="preserve">Construction Costs</x:t>
        </x:is>
      </x:c>
      <x:c r="B5" s="4" t="n">
        <x:v>160000000</x:v>
      </x:c>
    </x:row>
    <x:row r="6">
      <x:c r="A6" t="inlineStr">
        <x:is>
          <x:t xml:space="preserve">Infrastructure</x:t>
        </x:is>
      </x:c>
      <x:c r="B6" s="4" t="n">
        <x:v>55000000</x:v>
      </x:c>
    </x:row>
    <x:row r="7">
      <x:c r="A7" t="inlineStr">
        <x:is>
          <x:t xml:space="preserve">Branded Residence / Hospitality Fit-out</x:t>
        </x:is>
      </x:c>
      <x:c r="B7" s="4" t="n">
        <x:v>35000000</x:v>
      </x:c>
    </x:row>
    <x:row r="8">
      <x:c r="A8" t="inlineStr">
        <x:is>
          <x:t xml:space="preserve">Working Capital</x:t>
        </x:is>
      </x:c>
      <x:c r="B8" s="4" t="n">
        <x:v>30000000</x:v>
      </x:c>
    </x:row>
    <x:row r="9">
      <x:c r="A9" t="inlineStr">
        <x:is>
          <x:t xml:space="preserve">Contingency Reserve</x:t>
        </x:is>
      </x:c>
      <x:c r="B9" s="4" t="n">
        <x:v>20000000</x:v>
      </x:c>
    </x:row>
    <x:row r="10">
      <x:c r="A10" s="8" t="inlineStr">
        <x:is>
          <x:t xml:space="preserve">Total</x:t>
        </x:is>
      </x:c>
      <x:c r="B10" s="9">
        <x:f>SUM(B4:B9)</x:f>
        <x:v>420000000</x:v>
      </x:c>
    </x:row>
  </x:sheetData>
  <x:pageMargins left="0.7" right="0.7" top="0.75" bottom="0.75" header="0.3" footer="0.3"/>
  <x:drawing xmlns:r="http://schemas.openxmlformats.org/officeDocument/2006/relationships" r:id="R3a8a5dfba88c470f"/>
</x:worksheet>
</file>