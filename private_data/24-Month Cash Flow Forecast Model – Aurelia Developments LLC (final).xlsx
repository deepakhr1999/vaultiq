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rshiavijh/Downloads/"/>
    </mc:Choice>
  </mc:AlternateContent>
  <xr:revisionPtr revIDLastSave="0" documentId="13_ncr:1_{F76CFD67-7E81-064B-9848-FA39A53B940A}" xr6:coauthVersionLast="47" xr6:coauthVersionMax="47" xr10:uidLastSave="{00000000-0000-0000-0000-000000000000}"/>
  <bookViews>
    <workbookView xWindow="0" yWindow="600" windowWidth="16380" windowHeight="8200" activeTab="4" xr2:uid="{00000000-000D-0000-FFFF-FFFF00000000}"/>
  </bookViews>
  <sheets>
    <sheet name="Instructions" sheetId="1" r:id="rId1"/>
    <sheet name="Scenario Toggle" sheetId="2" r:id="rId2"/>
    <sheet name="Assumptions" sheetId="3" r:id="rId3"/>
    <sheet name="Project Database" sheetId="4" r:id="rId4"/>
    <sheet name="Sales Forecast" sheetId="5" r:id="rId5"/>
    <sheet name="Collections" sheetId="6" r:id="rId6"/>
    <sheet name="Construction Costs" sheetId="7" r:id="rId7"/>
    <sheet name="Escrow" sheetId="8" r:id="rId8"/>
    <sheet name="Corporate Opex" sheetId="9" r:id="rId9"/>
    <sheet name="Debt Model" sheetId="10" r:id="rId10"/>
    <sheet name="CapEx" sheetId="11" r:id="rId11"/>
    <sheet name="Cash Flow" sheetId="12" r:id="rId12"/>
    <sheet name="Liquidity" sheetId="13" r:id="rId13"/>
    <sheet name="Sensitivity" sheetId="14" r:id="rId14"/>
    <sheet name="Dashboard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56" i="15" l="1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14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B7" i="12"/>
  <c r="Y9" i="11"/>
  <c r="Y18" i="12" s="1"/>
  <c r="Y19" i="12" s="1"/>
  <c r="X9" i="11"/>
  <c r="X18" i="12" s="1"/>
  <c r="X19" i="12" s="1"/>
  <c r="W9" i="11"/>
  <c r="W18" i="12" s="1"/>
  <c r="W19" i="12" s="1"/>
  <c r="V9" i="11"/>
  <c r="V18" i="12" s="1"/>
  <c r="V19" i="12" s="1"/>
  <c r="U9" i="11"/>
  <c r="U18" i="12" s="1"/>
  <c r="U19" i="12" s="1"/>
  <c r="T9" i="11"/>
  <c r="T18" i="12" s="1"/>
  <c r="T19" i="12" s="1"/>
  <c r="S9" i="11"/>
  <c r="S18" i="12" s="1"/>
  <c r="S19" i="12" s="1"/>
  <c r="R9" i="11"/>
  <c r="R18" i="12" s="1"/>
  <c r="R19" i="12" s="1"/>
  <c r="Q9" i="11"/>
  <c r="Q18" i="12" s="1"/>
  <c r="Q19" i="12" s="1"/>
  <c r="P9" i="11"/>
  <c r="P18" i="12" s="1"/>
  <c r="P19" i="12" s="1"/>
  <c r="O9" i="11"/>
  <c r="O18" i="12" s="1"/>
  <c r="O19" i="12" s="1"/>
  <c r="N9" i="11"/>
  <c r="N18" i="12" s="1"/>
  <c r="N19" i="12" s="1"/>
  <c r="M9" i="11"/>
  <c r="M18" i="12" s="1"/>
  <c r="M19" i="12" s="1"/>
  <c r="L9" i="11"/>
  <c r="L18" i="12" s="1"/>
  <c r="L19" i="12" s="1"/>
  <c r="K9" i="11"/>
  <c r="K18" i="12" s="1"/>
  <c r="K19" i="12" s="1"/>
  <c r="J9" i="11"/>
  <c r="J18" i="12" s="1"/>
  <c r="J19" i="12" s="1"/>
  <c r="I9" i="11"/>
  <c r="I18" i="12" s="1"/>
  <c r="I19" i="12" s="1"/>
  <c r="H9" i="11"/>
  <c r="H18" i="12" s="1"/>
  <c r="H19" i="12" s="1"/>
  <c r="G9" i="11"/>
  <c r="G18" i="12" s="1"/>
  <c r="G19" i="12" s="1"/>
  <c r="F9" i="11"/>
  <c r="F18" i="12" s="1"/>
  <c r="F19" i="12" s="1"/>
  <c r="E9" i="11"/>
  <c r="E18" i="12" s="1"/>
  <c r="E19" i="12" s="1"/>
  <c r="D9" i="11"/>
  <c r="D18" i="12" s="1"/>
  <c r="D19" i="12" s="1"/>
  <c r="C9" i="11"/>
  <c r="C18" i="12" s="1"/>
  <c r="C19" i="12" s="1"/>
  <c r="B9" i="11"/>
  <c r="B18" i="12" s="1"/>
  <c r="B19" i="12" s="1"/>
  <c r="D33" i="10"/>
  <c r="C25" i="10"/>
  <c r="D25" i="10" s="1"/>
  <c r="C18" i="10"/>
  <c r="D18" i="10" s="1"/>
  <c r="C11" i="10"/>
  <c r="D11" i="10" s="1"/>
  <c r="C4" i="10"/>
  <c r="D4" i="10" s="1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A20" i="8"/>
  <c r="C19" i="8"/>
  <c r="D19" i="8" s="1"/>
  <c r="AA15" i="8"/>
  <c r="C14" i="8"/>
  <c r="D14" i="8" s="1"/>
  <c r="AA10" i="8"/>
  <c r="C9" i="8"/>
  <c r="D9" i="8" s="1"/>
  <c r="AA5" i="8"/>
  <c r="C4" i="8"/>
  <c r="D4" i="8" s="1"/>
  <c r="C22" i="7"/>
  <c r="C16" i="7"/>
  <c r="C10" i="7"/>
  <c r="C4" i="7"/>
  <c r="D26" i="5"/>
  <c r="C26" i="5"/>
  <c r="C22" i="5"/>
  <c r="E20" i="5"/>
  <c r="D20" i="5"/>
  <c r="C20" i="5"/>
  <c r="C16" i="5"/>
  <c r="C14" i="5"/>
  <c r="C10" i="5"/>
  <c r="C4" i="5"/>
  <c r="L9" i="4"/>
  <c r="K9" i="4"/>
  <c r="J9" i="4"/>
  <c r="I9" i="4"/>
  <c r="H9" i="4"/>
  <c r="G9" i="4"/>
  <c r="F9" i="4"/>
  <c r="C9" i="4"/>
  <c r="E33" i="3"/>
  <c r="X9" i="9" s="1"/>
  <c r="X15" i="12" s="1"/>
  <c r="E32" i="3"/>
  <c r="E31" i="3"/>
  <c r="H7" i="9" s="1"/>
  <c r="E30" i="3"/>
  <c r="T6" i="9" s="1"/>
  <c r="E29" i="3"/>
  <c r="E28" i="3"/>
  <c r="E27" i="3"/>
  <c r="E26" i="3"/>
  <c r="E25" i="3"/>
  <c r="E21" i="3"/>
  <c r="E20" i="3"/>
  <c r="E19" i="3"/>
  <c r="E18" i="3"/>
  <c r="E17" i="3"/>
  <c r="E16" i="3"/>
  <c r="E15" i="3"/>
  <c r="E14" i="3"/>
  <c r="E10" i="3"/>
  <c r="E9" i="3"/>
  <c r="E8" i="3"/>
  <c r="E7" i="3"/>
  <c r="E6" i="3"/>
  <c r="E5" i="3"/>
  <c r="E14" i="2"/>
  <c r="J9" i="12" s="1"/>
  <c r="E13" i="2"/>
  <c r="E12" i="2"/>
  <c r="E15" i="6" s="1"/>
  <c r="E11" i="2"/>
  <c r="E10" i="2"/>
  <c r="E9" i="2"/>
  <c r="I26" i="5" s="1"/>
  <c r="E8" i="2"/>
  <c r="N5" i="7" l="1"/>
  <c r="U14" i="5"/>
  <c r="P26" i="5"/>
  <c r="E8" i="6"/>
  <c r="I8" i="6"/>
  <c r="H15" i="6"/>
  <c r="J9" i="9"/>
  <c r="J15" i="12" s="1"/>
  <c r="V22" i="6"/>
  <c r="U5" i="5"/>
  <c r="U6" i="5" s="1"/>
  <c r="U7" i="5" s="1"/>
  <c r="U9" i="5" s="1"/>
  <c r="E8" i="5"/>
  <c r="U8" i="5"/>
  <c r="H20" i="5"/>
  <c r="L8" i="6"/>
  <c r="R17" i="7"/>
  <c r="C11" i="5"/>
  <c r="C12" i="5" s="1"/>
  <c r="C13" i="5" s="1"/>
  <c r="C15" i="5" s="1"/>
  <c r="O13" i="6" s="1"/>
  <c r="Q8" i="6"/>
  <c r="F16" i="10"/>
  <c r="Z23" i="5"/>
  <c r="Z24" i="5" s="1"/>
  <c r="Z25" i="5" s="1"/>
  <c r="F8" i="5"/>
  <c r="V8" i="5"/>
  <c r="Y14" i="5"/>
  <c r="I20" i="5"/>
  <c r="U26" i="5"/>
  <c r="S17" i="7"/>
  <c r="Y23" i="7"/>
  <c r="M5" i="7"/>
  <c r="G8" i="5"/>
  <c r="W8" i="5"/>
  <c r="L20" i="5"/>
  <c r="X26" i="5"/>
  <c r="I8" i="5"/>
  <c r="Y8" i="5"/>
  <c r="S6" i="9"/>
  <c r="T20" i="5"/>
  <c r="I14" i="5"/>
  <c r="W30" i="10"/>
  <c r="O30" i="10"/>
  <c r="G30" i="10"/>
  <c r="V30" i="10"/>
  <c r="N30" i="10"/>
  <c r="F30" i="10"/>
  <c r="Y30" i="10"/>
  <c r="M30" i="10"/>
  <c r="U23" i="10"/>
  <c r="M23" i="10"/>
  <c r="E23" i="10"/>
  <c r="W16" i="10"/>
  <c r="O16" i="10"/>
  <c r="G16" i="10"/>
  <c r="Q9" i="10"/>
  <c r="I9" i="10"/>
  <c r="X30" i="10"/>
  <c r="L30" i="10"/>
  <c r="T23" i="10"/>
  <c r="L23" i="10"/>
  <c r="D23" i="10"/>
  <c r="S30" i="10"/>
  <c r="E30" i="10"/>
  <c r="R23" i="10"/>
  <c r="H23" i="10"/>
  <c r="V16" i="10"/>
  <c r="M16" i="10"/>
  <c r="D16" i="10"/>
  <c r="S9" i="10"/>
  <c r="J9" i="10"/>
  <c r="R30" i="10"/>
  <c r="D30" i="10"/>
  <c r="AA23" i="10"/>
  <c r="Q23" i="10"/>
  <c r="G23" i="10"/>
  <c r="U16" i="10"/>
  <c r="L16" i="10"/>
  <c r="R9" i="10"/>
  <c r="H9" i="10"/>
  <c r="Q30" i="10"/>
  <c r="Z23" i="10"/>
  <c r="P23" i="10"/>
  <c r="F23" i="10"/>
  <c r="T16" i="10"/>
  <c r="K16" i="10"/>
  <c r="P9" i="10"/>
  <c r="G9" i="10"/>
  <c r="T30" i="10"/>
  <c r="X23" i="10"/>
  <c r="I23" i="10"/>
  <c r="N16" i="10"/>
  <c r="F9" i="10"/>
  <c r="X23" i="7"/>
  <c r="P23" i="7"/>
  <c r="H23" i="7"/>
  <c r="Y17" i="7"/>
  <c r="Q17" i="7"/>
  <c r="I17" i="7"/>
  <c r="Z11" i="7"/>
  <c r="R11" i="7"/>
  <c r="J11" i="7"/>
  <c r="AA5" i="7"/>
  <c r="S5" i="7"/>
  <c r="K5" i="7"/>
  <c r="P30" i="10"/>
  <c r="W23" i="10"/>
  <c r="J16" i="10"/>
  <c r="U9" i="10"/>
  <c r="E9" i="10"/>
  <c r="W23" i="7"/>
  <c r="O23" i="7"/>
  <c r="G23" i="7"/>
  <c r="X17" i="7"/>
  <c r="P17" i="7"/>
  <c r="H17" i="7"/>
  <c r="Y11" i="7"/>
  <c r="Q11" i="7"/>
  <c r="I11" i="7"/>
  <c r="Z5" i="7"/>
  <c r="R5" i="7"/>
  <c r="J5" i="7"/>
  <c r="K30" i="10"/>
  <c r="V23" i="10"/>
  <c r="I16" i="10"/>
  <c r="T9" i="10"/>
  <c r="D9" i="10"/>
  <c r="V23" i="7"/>
  <c r="N23" i="7"/>
  <c r="F23" i="7"/>
  <c r="W17" i="7"/>
  <c r="O17" i="7"/>
  <c r="G17" i="7"/>
  <c r="Z30" i="10"/>
  <c r="O23" i="10"/>
  <c r="E16" i="10"/>
  <c r="L9" i="10"/>
  <c r="T23" i="7"/>
  <c r="I23" i="7"/>
  <c r="AA17" i="7"/>
  <c r="M17" i="7"/>
  <c r="S11" i="7"/>
  <c r="G11" i="7"/>
  <c r="V5" i="7"/>
  <c r="L5" i="7"/>
  <c r="W29" i="6"/>
  <c r="W7" i="12" s="1"/>
  <c r="O29" i="6"/>
  <c r="O7" i="12" s="1"/>
  <c r="G29" i="6"/>
  <c r="G7" i="12" s="1"/>
  <c r="S22" i="6"/>
  <c r="K22" i="6"/>
  <c r="C22" i="6"/>
  <c r="O15" i="6"/>
  <c r="G15" i="6"/>
  <c r="S8" i="6"/>
  <c r="K8" i="6"/>
  <c r="C8" i="6"/>
  <c r="U30" i="10"/>
  <c r="N23" i="10"/>
  <c r="X16" i="10"/>
  <c r="K9" i="10"/>
  <c r="S23" i="7"/>
  <c r="E23" i="7"/>
  <c r="Z17" i="7"/>
  <c r="L17" i="7"/>
  <c r="P11" i="7"/>
  <c r="F11" i="7"/>
  <c r="U5" i="7"/>
  <c r="I5" i="7"/>
  <c r="V29" i="6"/>
  <c r="V7" i="12" s="1"/>
  <c r="N29" i="6"/>
  <c r="N7" i="12" s="1"/>
  <c r="F29" i="6"/>
  <c r="F7" i="12" s="1"/>
  <c r="R22" i="6"/>
  <c r="J22" i="6"/>
  <c r="V15" i="6"/>
  <c r="N15" i="6"/>
  <c r="F15" i="6"/>
  <c r="R8" i="6"/>
  <c r="J8" i="6"/>
  <c r="J30" i="10"/>
  <c r="H30" i="10"/>
  <c r="Q16" i="10"/>
  <c r="AA23" i="7"/>
  <c r="M23" i="7"/>
  <c r="T17" i="7"/>
  <c r="F17" i="7"/>
  <c r="N9" i="10"/>
  <c r="L23" i="7"/>
  <c r="K17" i="7"/>
  <c r="N11" i="7"/>
  <c r="W5" i="7"/>
  <c r="G5" i="7"/>
  <c r="X29" i="6"/>
  <c r="X7" i="12" s="1"/>
  <c r="L29" i="6"/>
  <c r="L7" i="12" s="1"/>
  <c r="P22" i="6"/>
  <c r="F22" i="6"/>
  <c r="T15" i="6"/>
  <c r="J15" i="6"/>
  <c r="N8" i="6"/>
  <c r="D8" i="6"/>
  <c r="M9" i="10"/>
  <c r="K23" i="7"/>
  <c r="J17" i="7"/>
  <c r="AA11" i="7"/>
  <c r="M11" i="7"/>
  <c r="T5" i="7"/>
  <c r="F5" i="7"/>
  <c r="U29" i="6"/>
  <c r="U7" i="12" s="1"/>
  <c r="K29" i="6"/>
  <c r="K7" i="12" s="1"/>
  <c r="Y22" i="6"/>
  <c r="O22" i="6"/>
  <c r="E22" i="6"/>
  <c r="S15" i="6"/>
  <c r="I15" i="6"/>
  <c r="M8" i="6"/>
  <c r="I30" i="10"/>
  <c r="Y23" i="10"/>
  <c r="S23" i="10"/>
  <c r="R16" i="10"/>
  <c r="Z23" i="7"/>
  <c r="D23" i="7"/>
  <c r="V17" i="7"/>
  <c r="D17" i="7"/>
  <c r="W11" i="7"/>
  <c r="K11" i="7"/>
  <c r="P5" i="7"/>
  <c r="D5" i="7"/>
  <c r="S29" i="6"/>
  <c r="S7" i="12" s="1"/>
  <c r="I29" i="6"/>
  <c r="I7" i="12" s="1"/>
  <c r="W22" i="6"/>
  <c r="M22" i="6"/>
  <c r="U23" i="7"/>
  <c r="N17" i="7"/>
  <c r="V11" i="7"/>
  <c r="H5" i="7"/>
  <c r="E29" i="6"/>
  <c r="E7" i="12" s="1"/>
  <c r="T22" i="6"/>
  <c r="R15" i="6"/>
  <c r="D15" i="6"/>
  <c r="H8" i="6"/>
  <c r="E17" i="5"/>
  <c r="Y11" i="5"/>
  <c r="R23" i="7"/>
  <c r="E17" i="7"/>
  <c r="U11" i="7"/>
  <c r="E5" i="7"/>
  <c r="T29" i="6"/>
  <c r="T7" i="12" s="1"/>
  <c r="D29" i="6"/>
  <c r="D7" i="12" s="1"/>
  <c r="Q22" i="6"/>
  <c r="Q15" i="6"/>
  <c r="C15" i="6"/>
  <c r="G8" i="6"/>
  <c r="D23" i="5"/>
  <c r="D17" i="5"/>
  <c r="X11" i="5"/>
  <c r="C5" i="5"/>
  <c r="K23" i="10"/>
  <c r="Q23" i="7"/>
  <c r="T11" i="7"/>
  <c r="Y5" i="7"/>
  <c r="R29" i="6"/>
  <c r="R7" i="12" s="1"/>
  <c r="C29" i="6"/>
  <c r="N22" i="6"/>
  <c r="P15" i="6"/>
  <c r="F8" i="6"/>
  <c r="C23" i="5"/>
  <c r="C17" i="5"/>
  <c r="Z5" i="5"/>
  <c r="J23" i="10"/>
  <c r="J23" i="7"/>
  <c r="O11" i="7"/>
  <c r="X5" i="7"/>
  <c r="Q29" i="6"/>
  <c r="Q7" i="12" s="1"/>
  <c r="L22" i="6"/>
  <c r="M15" i="6"/>
  <c r="S16" i="10"/>
  <c r="L11" i="7"/>
  <c r="Q5" i="7"/>
  <c r="P29" i="6"/>
  <c r="P7" i="12" s="1"/>
  <c r="I22" i="6"/>
  <c r="L15" i="6"/>
  <c r="P8" i="6"/>
  <c r="X5" i="5"/>
  <c r="H11" i="7"/>
  <c r="M29" i="6"/>
  <c r="M7" i="12" s="1"/>
  <c r="H22" i="6"/>
  <c r="O8" i="6"/>
  <c r="P16" i="10"/>
  <c r="O9" i="10"/>
  <c r="U17" i="7"/>
  <c r="O5" i="7"/>
  <c r="X22" i="6"/>
  <c r="K15" i="6"/>
  <c r="V6" i="13"/>
  <c r="N6" i="13"/>
  <c r="F6" i="13"/>
  <c r="U6" i="13"/>
  <c r="M6" i="13"/>
  <c r="E6" i="13"/>
  <c r="P6" i="13"/>
  <c r="D6" i="13"/>
  <c r="Y6" i="13"/>
  <c r="O6" i="13"/>
  <c r="C6" i="13"/>
  <c r="X6" i="13"/>
  <c r="L6" i="13"/>
  <c r="B6" i="13"/>
  <c r="I6" i="13"/>
  <c r="W6" i="13"/>
  <c r="H6" i="13"/>
  <c r="T6" i="13"/>
  <c r="G6" i="13"/>
  <c r="S6" i="13"/>
  <c r="R6" i="13"/>
  <c r="Q6" i="13"/>
  <c r="K6" i="13"/>
  <c r="J6" i="13"/>
  <c r="W8" i="9"/>
  <c r="O8" i="9"/>
  <c r="G8" i="9"/>
  <c r="V8" i="9"/>
  <c r="N8" i="9"/>
  <c r="F8" i="9"/>
  <c r="U8" i="9"/>
  <c r="M8" i="9"/>
  <c r="E8" i="9"/>
  <c r="Q8" i="9"/>
  <c r="C8" i="9"/>
  <c r="P8" i="9"/>
  <c r="B8" i="9"/>
  <c r="L8" i="9"/>
  <c r="T8" i="9"/>
  <c r="S8" i="9"/>
  <c r="J8" i="9"/>
  <c r="Y8" i="9"/>
  <c r="R8" i="9"/>
  <c r="K8" i="9"/>
  <c r="I8" i="9"/>
  <c r="H8" i="9"/>
  <c r="D8" i="9"/>
  <c r="V5" i="5"/>
  <c r="N8" i="5"/>
  <c r="Z11" i="5"/>
  <c r="L14" i="5"/>
  <c r="Y20" i="5"/>
  <c r="U15" i="6"/>
  <c r="D22" i="6"/>
  <c r="H29" i="6"/>
  <c r="H7" i="12" s="1"/>
  <c r="D11" i="7"/>
  <c r="H16" i="10"/>
  <c r="M8" i="5"/>
  <c r="W5" i="5"/>
  <c r="O8" i="5"/>
  <c r="R14" i="5"/>
  <c r="G22" i="6"/>
  <c r="J29" i="6"/>
  <c r="J7" i="12" s="1"/>
  <c r="E11" i="7"/>
  <c r="X8" i="9"/>
  <c r="W26" i="5"/>
  <c r="O26" i="5"/>
  <c r="G26" i="5"/>
  <c r="W20" i="5"/>
  <c r="O20" i="5"/>
  <c r="G20" i="5"/>
  <c r="W14" i="5"/>
  <c r="O14" i="5"/>
  <c r="G14" i="5"/>
  <c r="V26" i="5"/>
  <c r="N26" i="5"/>
  <c r="F26" i="5"/>
  <c r="V20" i="5"/>
  <c r="N20" i="5"/>
  <c r="F20" i="5"/>
  <c r="V14" i="5"/>
  <c r="N14" i="5"/>
  <c r="F14" i="5"/>
  <c r="T26" i="5"/>
  <c r="J26" i="5"/>
  <c r="Z20" i="5"/>
  <c r="P20" i="5"/>
  <c r="T14" i="5"/>
  <c r="J14" i="5"/>
  <c r="S26" i="5"/>
  <c r="H26" i="5"/>
  <c r="R20" i="5"/>
  <c r="Q14" i="5"/>
  <c r="D14" i="5"/>
  <c r="T8" i="5"/>
  <c r="L8" i="5"/>
  <c r="D8" i="5"/>
  <c r="R26" i="5"/>
  <c r="E26" i="5"/>
  <c r="Q20" i="5"/>
  <c r="P14" i="5"/>
  <c r="S8" i="5"/>
  <c r="K8" i="5"/>
  <c r="C8" i="5"/>
  <c r="Q26" i="5"/>
  <c r="M20" i="5"/>
  <c r="Z14" i="5"/>
  <c r="M14" i="5"/>
  <c r="Z8" i="5"/>
  <c r="R8" i="5"/>
  <c r="J8" i="5"/>
  <c r="Z26" i="5"/>
  <c r="M26" i="5"/>
  <c r="X20" i="5"/>
  <c r="K20" i="5"/>
  <c r="X14" i="5"/>
  <c r="K14" i="5"/>
  <c r="X8" i="5"/>
  <c r="P8" i="5"/>
  <c r="H8" i="5"/>
  <c r="L26" i="5"/>
  <c r="J20" i="5"/>
  <c r="Y26" i="5"/>
  <c r="U20" i="5"/>
  <c r="C27" i="10"/>
  <c r="C35" i="10"/>
  <c r="C13" i="10"/>
  <c r="C20" i="10"/>
  <c r="C6" i="10"/>
  <c r="E14" i="5"/>
  <c r="W6" i="9"/>
  <c r="O6" i="9"/>
  <c r="G6" i="9"/>
  <c r="V6" i="9"/>
  <c r="N6" i="9"/>
  <c r="F6" i="9"/>
  <c r="U6" i="9"/>
  <c r="M6" i="9"/>
  <c r="E6" i="9"/>
  <c r="L6" i="9"/>
  <c r="Y6" i="9"/>
  <c r="K6" i="9"/>
  <c r="X6" i="9"/>
  <c r="J6" i="9"/>
  <c r="H6" i="9"/>
  <c r="D6" i="9"/>
  <c r="R6" i="9"/>
  <c r="P6" i="9"/>
  <c r="I6" i="9"/>
  <c r="B6" i="9"/>
  <c r="Q6" i="9"/>
  <c r="C6" i="9"/>
  <c r="H14" i="5"/>
  <c r="S20" i="5"/>
  <c r="Y5" i="5"/>
  <c r="Q8" i="5"/>
  <c r="S14" i="5"/>
  <c r="K26" i="5"/>
  <c r="U22" i="6"/>
  <c r="X11" i="7"/>
  <c r="K9" i="9"/>
  <c r="K15" i="12" s="1"/>
  <c r="V8" i="13"/>
  <c r="N8" i="13"/>
  <c r="F8" i="13"/>
  <c r="U8" i="13"/>
  <c r="M8" i="13"/>
  <c r="E8" i="13"/>
  <c r="T8" i="13"/>
  <c r="J8" i="13"/>
  <c r="S8" i="13"/>
  <c r="I8" i="13"/>
  <c r="R8" i="13"/>
  <c r="H8" i="13"/>
  <c r="L8" i="13"/>
  <c r="K8" i="13"/>
  <c r="Y8" i="13"/>
  <c r="G8" i="13"/>
  <c r="B8" i="13"/>
  <c r="X8" i="13"/>
  <c r="W8" i="13"/>
  <c r="P8" i="13"/>
  <c r="O8" i="13"/>
  <c r="D8" i="13"/>
  <c r="C8" i="13"/>
  <c r="Q8" i="13"/>
  <c r="W7" i="9"/>
  <c r="O7" i="9"/>
  <c r="G7" i="9"/>
  <c r="V7" i="9"/>
  <c r="N7" i="9"/>
  <c r="F7" i="9"/>
  <c r="U7" i="9"/>
  <c r="M7" i="9"/>
  <c r="E7" i="9"/>
  <c r="P7" i="9"/>
  <c r="B7" i="9"/>
  <c r="L7" i="9"/>
  <c r="Y7" i="9"/>
  <c r="K7" i="9"/>
  <c r="X7" i="9"/>
  <c r="D7" i="9"/>
  <c r="T7" i="9"/>
  <c r="T13" i="9" s="1"/>
  <c r="C7" i="9"/>
  <c r="Q7" i="9"/>
  <c r="S7" i="9"/>
  <c r="R7" i="9"/>
  <c r="I7" i="9"/>
  <c r="J7" i="9"/>
  <c r="T9" i="9"/>
  <c r="T15" i="12" s="1"/>
  <c r="H9" i="12"/>
  <c r="I9" i="12"/>
  <c r="W9" i="9"/>
  <c r="W15" i="12" s="1"/>
  <c r="O9" i="9"/>
  <c r="O15" i="12" s="1"/>
  <c r="G9" i="9"/>
  <c r="G15" i="12" s="1"/>
  <c r="V9" i="9"/>
  <c r="V15" i="12" s="1"/>
  <c r="N9" i="9"/>
  <c r="N15" i="12" s="1"/>
  <c r="F9" i="9"/>
  <c r="F15" i="12" s="1"/>
  <c r="U9" i="9"/>
  <c r="U15" i="12" s="1"/>
  <c r="M9" i="9"/>
  <c r="M15" i="12" s="1"/>
  <c r="E9" i="9"/>
  <c r="E15" i="12" s="1"/>
  <c r="R9" i="9"/>
  <c r="R15" i="12" s="1"/>
  <c r="D9" i="9"/>
  <c r="D15" i="12" s="1"/>
  <c r="Q9" i="9"/>
  <c r="Q15" i="12" s="1"/>
  <c r="C9" i="9"/>
  <c r="C15" i="12" s="1"/>
  <c r="P9" i="9"/>
  <c r="P15" i="12" s="1"/>
  <c r="B9" i="9"/>
  <c r="B15" i="12" s="1"/>
  <c r="S9" i="9"/>
  <c r="S15" i="12" s="1"/>
  <c r="L9" i="9"/>
  <c r="L15" i="12" s="1"/>
  <c r="I9" i="9"/>
  <c r="I15" i="12" s="1"/>
  <c r="H9" i="9"/>
  <c r="H15" i="12" s="1"/>
  <c r="Y9" i="9"/>
  <c r="Y15" i="12" s="1"/>
  <c r="V9" i="12"/>
  <c r="N9" i="12"/>
  <c r="F9" i="12"/>
  <c r="V8" i="12"/>
  <c r="N8" i="12"/>
  <c r="F8" i="12"/>
  <c r="U9" i="12"/>
  <c r="M9" i="12"/>
  <c r="E9" i="12"/>
  <c r="U8" i="12"/>
  <c r="M8" i="12"/>
  <c r="E8" i="12"/>
  <c r="P9" i="12"/>
  <c r="D9" i="12"/>
  <c r="R8" i="12"/>
  <c r="H8" i="12"/>
  <c r="Y9" i="12"/>
  <c r="O9" i="12"/>
  <c r="C9" i="12"/>
  <c r="Q8" i="12"/>
  <c r="G8" i="12"/>
  <c r="X9" i="12"/>
  <c r="L9" i="12"/>
  <c r="B9" i="12"/>
  <c r="P8" i="12"/>
  <c r="D8" i="12"/>
  <c r="R9" i="12"/>
  <c r="X8" i="12"/>
  <c r="I8" i="12"/>
  <c r="Q9" i="12"/>
  <c r="W8" i="12"/>
  <c r="C8" i="12"/>
  <c r="K9" i="12"/>
  <c r="T8" i="12"/>
  <c r="B8" i="12"/>
  <c r="G9" i="12"/>
  <c r="Y8" i="12"/>
  <c r="W9" i="12"/>
  <c r="S8" i="12"/>
  <c r="L8" i="12"/>
  <c r="K8" i="12"/>
  <c r="T9" i="12"/>
  <c r="J8" i="12"/>
  <c r="O8" i="12"/>
  <c r="S9" i="12"/>
  <c r="B20" i="15"/>
  <c r="I13" i="9" l="1"/>
  <c r="Y13" i="9"/>
  <c r="L23" i="12"/>
  <c r="R13" i="9"/>
  <c r="B11" i="12"/>
  <c r="C17" i="6"/>
  <c r="I12" i="6"/>
  <c r="J23" i="12"/>
  <c r="C11" i="6"/>
  <c r="R23" i="12"/>
  <c r="Z27" i="5"/>
  <c r="Z31" i="6" s="1"/>
  <c r="U14" i="6"/>
  <c r="E13" i="9"/>
  <c r="M23" i="12"/>
  <c r="X13" i="9"/>
  <c r="N29" i="7"/>
  <c r="L13" i="12" s="1"/>
  <c r="L21" i="15" s="1"/>
  <c r="D23" i="12"/>
  <c r="D10" i="5"/>
  <c r="D11" i="5" s="1"/>
  <c r="K13" i="9"/>
  <c r="B13" i="9"/>
  <c r="V13" i="9"/>
  <c r="U20" i="10"/>
  <c r="M20" i="10"/>
  <c r="E20" i="10"/>
  <c r="T20" i="10"/>
  <c r="L20" i="10"/>
  <c r="D20" i="10"/>
  <c r="D21" i="10" s="1"/>
  <c r="D22" i="10" s="1"/>
  <c r="Z20" i="10"/>
  <c r="P20" i="10"/>
  <c r="F20" i="10"/>
  <c r="Y20" i="10"/>
  <c r="O20" i="10"/>
  <c r="X20" i="10"/>
  <c r="N20" i="10"/>
  <c r="J20" i="10"/>
  <c r="AA20" i="10"/>
  <c r="I20" i="10"/>
  <c r="W20" i="10"/>
  <c r="H20" i="10"/>
  <c r="G20" i="10"/>
  <c r="S20" i="10"/>
  <c r="R20" i="10"/>
  <c r="Q20" i="10"/>
  <c r="V20" i="10"/>
  <c r="K20" i="10"/>
  <c r="R20" i="15"/>
  <c r="R11" i="12"/>
  <c r="E18" i="5"/>
  <c r="E19" i="5" s="1"/>
  <c r="E21" i="5" s="1"/>
  <c r="F29" i="7"/>
  <c r="D13" i="12" s="1"/>
  <c r="D21" i="15" s="1"/>
  <c r="I29" i="7"/>
  <c r="G13" i="12" s="1"/>
  <c r="G21" i="15" s="1"/>
  <c r="I23" i="12"/>
  <c r="B23" i="12"/>
  <c r="Z29" i="7"/>
  <c r="X13" i="12" s="1"/>
  <c r="X21" i="15" s="1"/>
  <c r="K29" i="7"/>
  <c r="I13" i="12" s="1"/>
  <c r="I21" i="15" s="1"/>
  <c r="C16" i="6"/>
  <c r="W13" i="10"/>
  <c r="O13" i="10"/>
  <c r="G13" i="10"/>
  <c r="U13" i="10"/>
  <c r="L13" i="10"/>
  <c r="T13" i="10"/>
  <c r="K13" i="10"/>
  <c r="S13" i="10"/>
  <c r="J13" i="10"/>
  <c r="Z13" i="10"/>
  <c r="M13" i="10"/>
  <c r="Y13" i="10"/>
  <c r="I13" i="10"/>
  <c r="X13" i="10"/>
  <c r="H13" i="10"/>
  <c r="E13" i="10"/>
  <c r="AA13" i="10"/>
  <c r="D13" i="10"/>
  <c r="D14" i="10" s="1"/>
  <c r="D15" i="10" s="1"/>
  <c r="Q13" i="10"/>
  <c r="V13" i="10"/>
  <c r="P13" i="10"/>
  <c r="F13" i="10"/>
  <c r="R13" i="10"/>
  <c r="N13" i="10"/>
  <c r="J20" i="15"/>
  <c r="J11" i="12"/>
  <c r="C24" i="5"/>
  <c r="C25" i="5" s="1"/>
  <c r="Y29" i="7"/>
  <c r="W13" i="12" s="1"/>
  <c r="W21" i="15" s="1"/>
  <c r="E20" i="15"/>
  <c r="E11" i="12"/>
  <c r="X24" i="7"/>
  <c r="P24" i="7"/>
  <c r="H24" i="7"/>
  <c r="W24" i="7"/>
  <c r="O24" i="7"/>
  <c r="G24" i="7"/>
  <c r="V24" i="7"/>
  <c r="N24" i="7"/>
  <c r="F24" i="7"/>
  <c r="U24" i="7"/>
  <c r="J24" i="7"/>
  <c r="T24" i="7"/>
  <c r="I24" i="7"/>
  <c r="Q24" i="7"/>
  <c r="K24" i="7"/>
  <c r="AA24" i="7"/>
  <c r="E24" i="7"/>
  <c r="Y24" i="7"/>
  <c r="Z24" i="7"/>
  <c r="S24" i="7"/>
  <c r="R24" i="7"/>
  <c r="M24" i="7"/>
  <c r="L24" i="7"/>
  <c r="D24" i="7"/>
  <c r="T29" i="7"/>
  <c r="R13" i="12" s="1"/>
  <c r="R21" i="15" s="1"/>
  <c r="U29" i="7"/>
  <c r="S13" i="12" s="1"/>
  <c r="S21" i="15" s="1"/>
  <c r="S29" i="7"/>
  <c r="Q13" i="12" s="1"/>
  <c r="Q21" i="15" s="1"/>
  <c r="P13" i="9"/>
  <c r="L13" i="9"/>
  <c r="O13" i="9"/>
  <c r="V35" i="10"/>
  <c r="N35" i="10"/>
  <c r="F35" i="10"/>
  <c r="U35" i="10"/>
  <c r="M35" i="10"/>
  <c r="E35" i="10"/>
  <c r="T35" i="10"/>
  <c r="L35" i="10"/>
  <c r="D35" i="10"/>
  <c r="D36" i="10" s="1"/>
  <c r="S35" i="10"/>
  <c r="H35" i="10"/>
  <c r="R35" i="10"/>
  <c r="G35" i="10"/>
  <c r="X35" i="10"/>
  <c r="W35" i="10"/>
  <c r="Q35" i="10"/>
  <c r="P35" i="10"/>
  <c r="O35" i="10"/>
  <c r="K35" i="10"/>
  <c r="AA35" i="10"/>
  <c r="Z35" i="10"/>
  <c r="Y35" i="10"/>
  <c r="I35" i="10"/>
  <c r="J35" i="10"/>
  <c r="X6" i="5"/>
  <c r="X7" i="5" s="1"/>
  <c r="X12" i="5"/>
  <c r="X13" i="5" s="1"/>
  <c r="X15" i="5" s="1"/>
  <c r="S20" i="15"/>
  <c r="S11" i="12"/>
  <c r="C23" i="12"/>
  <c r="AA29" i="7"/>
  <c r="Y13" i="12" s="1"/>
  <c r="Y21" i="15" s="1"/>
  <c r="S13" i="9"/>
  <c r="M29" i="7"/>
  <c r="K13" i="12" s="1"/>
  <c r="K21" i="15" s="1"/>
  <c r="D18" i="5"/>
  <c r="D19" i="5" s="1"/>
  <c r="D21" i="5" s="1"/>
  <c r="H29" i="7"/>
  <c r="F13" i="12" s="1"/>
  <c r="F21" i="15" s="1"/>
  <c r="D29" i="7"/>
  <c r="AA6" i="7"/>
  <c r="S6" i="7"/>
  <c r="K6" i="7"/>
  <c r="Z6" i="7"/>
  <c r="R6" i="7"/>
  <c r="J6" i="7"/>
  <c r="T6" i="7"/>
  <c r="H6" i="7"/>
  <c r="Q6" i="7"/>
  <c r="G6" i="7"/>
  <c r="Y6" i="7"/>
  <c r="M6" i="7"/>
  <c r="X6" i="7"/>
  <c r="L6" i="7"/>
  <c r="V6" i="7"/>
  <c r="F6" i="7"/>
  <c r="E6" i="7"/>
  <c r="D6" i="7"/>
  <c r="W6" i="7"/>
  <c r="U6" i="7"/>
  <c r="P6" i="7"/>
  <c r="O6" i="7"/>
  <c r="N6" i="7"/>
  <c r="I6" i="7"/>
  <c r="L20" i="15"/>
  <c r="L11" i="12"/>
  <c r="G20" i="15"/>
  <c r="G11" i="12"/>
  <c r="S23" i="12"/>
  <c r="E23" i="12"/>
  <c r="Z6" i="5"/>
  <c r="Z7" i="5" s="1"/>
  <c r="D12" i="5"/>
  <c r="D13" i="5" s="1"/>
  <c r="D15" i="5" s="1"/>
  <c r="D20" i="15"/>
  <c r="D11" i="12"/>
  <c r="P29" i="7"/>
  <c r="N13" i="12" s="1"/>
  <c r="N21" i="15" s="1"/>
  <c r="X20" i="15"/>
  <c r="X11" i="12"/>
  <c r="O20" i="15"/>
  <c r="O11" i="12"/>
  <c r="N23" i="12"/>
  <c r="F23" i="12"/>
  <c r="G23" i="12"/>
  <c r="U10" i="6"/>
  <c r="U4" i="6"/>
  <c r="W13" i="9"/>
  <c r="AA27" i="10"/>
  <c r="S27" i="10"/>
  <c r="K27" i="10"/>
  <c r="Z27" i="10"/>
  <c r="R27" i="10"/>
  <c r="J27" i="10"/>
  <c r="Y27" i="10"/>
  <c r="O27" i="10"/>
  <c r="E27" i="10"/>
  <c r="X27" i="10"/>
  <c r="N27" i="10"/>
  <c r="D27" i="10"/>
  <c r="D28" i="10" s="1"/>
  <c r="D29" i="10" s="1"/>
  <c r="W27" i="10"/>
  <c r="M27" i="10"/>
  <c r="I27" i="10"/>
  <c r="H27" i="10"/>
  <c r="V27" i="10"/>
  <c r="G27" i="10"/>
  <c r="U27" i="10"/>
  <c r="T27" i="10"/>
  <c r="P27" i="10"/>
  <c r="Q27" i="10"/>
  <c r="L27" i="10"/>
  <c r="F27" i="10"/>
  <c r="D13" i="9"/>
  <c r="M13" i="9"/>
  <c r="Q20" i="15"/>
  <c r="Q11" i="12"/>
  <c r="H13" i="9"/>
  <c r="U13" i="9"/>
  <c r="Z12" i="7"/>
  <c r="R12" i="7"/>
  <c r="J12" i="7"/>
  <c r="Y12" i="7"/>
  <c r="Q12" i="7"/>
  <c r="I12" i="7"/>
  <c r="AA12" i="7"/>
  <c r="O12" i="7"/>
  <c r="E12" i="7"/>
  <c r="X12" i="7"/>
  <c r="N12" i="7"/>
  <c r="D12" i="7"/>
  <c r="T12" i="7"/>
  <c r="F12" i="7"/>
  <c r="S12" i="7"/>
  <c r="M12" i="7"/>
  <c r="V12" i="7"/>
  <c r="U12" i="7"/>
  <c r="P12" i="7"/>
  <c r="L12" i="7"/>
  <c r="K12" i="7"/>
  <c r="H12" i="7"/>
  <c r="G12" i="7"/>
  <c r="W12" i="7"/>
  <c r="P20" i="15"/>
  <c r="P11" i="12"/>
  <c r="X29" i="7"/>
  <c r="V13" i="12" s="1"/>
  <c r="V21" i="15" s="1"/>
  <c r="C6" i="5"/>
  <c r="C7" i="5" s="1"/>
  <c r="D24" i="5"/>
  <c r="D25" i="5" s="1"/>
  <c r="D27" i="5" s="1"/>
  <c r="T20" i="15"/>
  <c r="T11" i="12"/>
  <c r="G29" i="7"/>
  <c r="E13" i="12" s="1"/>
  <c r="E21" i="15" s="1"/>
  <c r="F20" i="15"/>
  <c r="F11" i="12"/>
  <c r="W20" i="15"/>
  <c r="W11" i="12"/>
  <c r="P23" i="12"/>
  <c r="O23" i="12"/>
  <c r="C13" i="9"/>
  <c r="J13" i="9"/>
  <c r="F13" i="9"/>
  <c r="H20" i="15"/>
  <c r="H11" i="12"/>
  <c r="Z12" i="5"/>
  <c r="Z13" i="5" s="1"/>
  <c r="Z15" i="5" s="1"/>
  <c r="O29" i="7"/>
  <c r="M13" i="12" s="1"/>
  <c r="M21" i="15" s="1"/>
  <c r="M20" i="15"/>
  <c r="M11" i="12"/>
  <c r="Q29" i="7"/>
  <c r="O13" i="12" s="1"/>
  <c r="O21" i="15" s="1"/>
  <c r="E29" i="7"/>
  <c r="C13" i="12" s="1"/>
  <c r="C21" i="15" s="1"/>
  <c r="K20" i="15"/>
  <c r="K11" i="12"/>
  <c r="K23" i="12"/>
  <c r="W29" i="7"/>
  <c r="U13" i="12" s="1"/>
  <c r="U21" i="15" s="1"/>
  <c r="N20" i="15"/>
  <c r="N11" i="12"/>
  <c r="L29" i="7"/>
  <c r="J13" i="12" s="1"/>
  <c r="J21" i="15" s="1"/>
  <c r="J29" i="7"/>
  <c r="H13" i="12" s="1"/>
  <c r="H21" i="15" s="1"/>
  <c r="H23" i="12"/>
  <c r="G13" i="9"/>
  <c r="W6" i="5"/>
  <c r="W7" i="5" s="1"/>
  <c r="V6" i="5"/>
  <c r="V7" i="5" s="1"/>
  <c r="I20" i="15"/>
  <c r="I11" i="12"/>
  <c r="Y6" i="5"/>
  <c r="Y7" i="5" s="1"/>
  <c r="Q13" i="9"/>
  <c r="N13" i="9"/>
  <c r="Y6" i="10"/>
  <c r="Q6" i="10"/>
  <c r="I6" i="10"/>
  <c r="AA6" i="10"/>
  <c r="R6" i="10"/>
  <c r="H6" i="10"/>
  <c r="Z6" i="10"/>
  <c r="P6" i="10"/>
  <c r="G6" i="10"/>
  <c r="X6" i="10"/>
  <c r="O6" i="10"/>
  <c r="F6" i="10"/>
  <c r="U6" i="10"/>
  <c r="E6" i="10"/>
  <c r="T6" i="10"/>
  <c r="D6" i="10"/>
  <c r="D7" i="10" s="1"/>
  <c r="D8" i="10" s="1"/>
  <c r="S6" i="10"/>
  <c r="L6" i="10"/>
  <c r="K6" i="10"/>
  <c r="W6" i="10"/>
  <c r="M6" i="10"/>
  <c r="J6" i="10"/>
  <c r="V6" i="10"/>
  <c r="N6" i="10"/>
  <c r="C18" i="5"/>
  <c r="C19" i="5" s="1"/>
  <c r="C7" i="12"/>
  <c r="Y12" i="5"/>
  <c r="Y13" i="5" s="1"/>
  <c r="Y15" i="5" s="1"/>
  <c r="Y18" i="7"/>
  <c r="Q18" i="7"/>
  <c r="I18" i="7"/>
  <c r="X18" i="7"/>
  <c r="P18" i="7"/>
  <c r="H18" i="7"/>
  <c r="W18" i="7"/>
  <c r="O18" i="7"/>
  <c r="G18" i="7"/>
  <c r="N18" i="7"/>
  <c r="AA18" i="7"/>
  <c r="M18" i="7"/>
  <c r="U18" i="7"/>
  <c r="J18" i="7"/>
  <c r="F18" i="7"/>
  <c r="Z18" i="7"/>
  <c r="E18" i="7"/>
  <c r="T18" i="7"/>
  <c r="S18" i="7"/>
  <c r="R18" i="7"/>
  <c r="L18" i="7"/>
  <c r="K18" i="7"/>
  <c r="D18" i="7"/>
  <c r="V18" i="7"/>
  <c r="U20" i="15"/>
  <c r="U11" i="12"/>
  <c r="V20" i="15"/>
  <c r="V11" i="12"/>
  <c r="V29" i="7"/>
  <c r="T13" i="12" s="1"/>
  <c r="T21" i="15" s="1"/>
  <c r="R29" i="7"/>
  <c r="P13" i="12" s="1"/>
  <c r="P21" i="15" s="1"/>
  <c r="Q23" i="12"/>
  <c r="Z25" i="6" l="1"/>
  <c r="V9" i="5"/>
  <c r="Q20" i="6"/>
  <c r="E24" i="6"/>
  <c r="W21" i="6"/>
  <c r="K19" i="6"/>
  <c r="E18" i="6"/>
  <c r="E23" i="6" s="1"/>
  <c r="E15" i="8" s="1"/>
  <c r="Z9" i="5"/>
  <c r="Z11" i="6"/>
  <c r="Z17" i="6"/>
  <c r="C21" i="5"/>
  <c r="D16" i="5"/>
  <c r="E16" i="5" s="1"/>
  <c r="F16" i="5" s="1"/>
  <c r="P20" i="6"/>
  <c r="D18" i="6"/>
  <c r="D23" i="6" s="1"/>
  <c r="D15" i="8" s="1"/>
  <c r="D24" i="6"/>
  <c r="V21" i="6"/>
  <c r="J19" i="6"/>
  <c r="V28" i="6"/>
  <c r="P27" i="6"/>
  <c r="J26" i="6"/>
  <c r="D31" i="6"/>
  <c r="D25" i="6"/>
  <c r="D30" i="6" s="1"/>
  <c r="W9" i="5"/>
  <c r="C9" i="5"/>
  <c r="C29" i="5"/>
  <c r="D4" i="5"/>
  <c r="X17" i="6"/>
  <c r="X11" i="6"/>
  <c r="Y9" i="5"/>
  <c r="T20" i="7"/>
  <c r="T21" i="7" s="1"/>
  <c r="T19" i="7"/>
  <c r="N20" i="7"/>
  <c r="N21" i="7" s="1"/>
  <c r="N19" i="7"/>
  <c r="I20" i="7"/>
  <c r="I21" i="7" s="1"/>
  <c r="I19" i="7"/>
  <c r="V14" i="7"/>
  <c r="V15" i="7" s="1"/>
  <c r="V13" i="7"/>
  <c r="E14" i="7"/>
  <c r="E15" i="7" s="1"/>
  <c r="E13" i="7"/>
  <c r="E20" i="7"/>
  <c r="E21" i="7" s="1"/>
  <c r="E19" i="7"/>
  <c r="Q20" i="7"/>
  <c r="Q21" i="7" s="1"/>
  <c r="Q19" i="7"/>
  <c r="W14" i="7"/>
  <c r="W15" i="7" s="1"/>
  <c r="W13" i="7"/>
  <c r="M14" i="7"/>
  <c r="M15" i="7" s="1"/>
  <c r="M13" i="7"/>
  <c r="O14" i="7"/>
  <c r="O15" i="7" s="1"/>
  <c r="O13" i="7"/>
  <c r="Z14" i="7"/>
  <c r="Z15" i="7" s="1"/>
  <c r="Z13" i="7"/>
  <c r="W8" i="7"/>
  <c r="W9" i="7" s="1"/>
  <c r="W7" i="7"/>
  <c r="Y7" i="7"/>
  <c r="Y8" i="7"/>
  <c r="Y9" i="7" s="1"/>
  <c r="K8" i="7"/>
  <c r="K9" i="7" s="1"/>
  <c r="K7" i="7"/>
  <c r="R26" i="7"/>
  <c r="R27" i="7" s="1"/>
  <c r="R25" i="7"/>
  <c r="I26" i="7"/>
  <c r="I27" i="7" s="1"/>
  <c r="I25" i="7"/>
  <c r="O26" i="7"/>
  <c r="O27" i="7" s="1"/>
  <c r="O25" i="7"/>
  <c r="U20" i="7"/>
  <c r="U21" i="7" s="1"/>
  <c r="U19" i="7"/>
  <c r="L14" i="7"/>
  <c r="L15" i="7" s="1"/>
  <c r="L13" i="7"/>
  <c r="G20" i="7"/>
  <c r="G21" i="7" s="1"/>
  <c r="G19" i="7"/>
  <c r="G14" i="7"/>
  <c r="G15" i="7" s="1"/>
  <c r="G13" i="7"/>
  <c r="AA14" i="7"/>
  <c r="AA15" i="7" s="1"/>
  <c r="AA13" i="7"/>
  <c r="V14" i="6"/>
  <c r="D17" i="6"/>
  <c r="J12" i="6"/>
  <c r="P13" i="6"/>
  <c r="D11" i="6"/>
  <c r="D16" i="6" s="1"/>
  <c r="D10" i="8" s="1"/>
  <c r="D8" i="7"/>
  <c r="D9" i="7" s="1"/>
  <c r="D7" i="7"/>
  <c r="G8" i="7"/>
  <c r="G9" i="7" s="1"/>
  <c r="G7" i="7"/>
  <c r="S8" i="7"/>
  <c r="S9" i="7" s="1"/>
  <c r="S7" i="7"/>
  <c r="E10" i="5"/>
  <c r="S26" i="7"/>
  <c r="S27" i="7" s="1"/>
  <c r="S25" i="7"/>
  <c r="T26" i="7"/>
  <c r="T27" i="7" s="1"/>
  <c r="T25" i="7"/>
  <c r="W26" i="7"/>
  <c r="W27" i="7" s="1"/>
  <c r="W25" i="7"/>
  <c r="L20" i="7"/>
  <c r="L21" i="7" s="1"/>
  <c r="L19" i="7"/>
  <c r="H20" i="7"/>
  <c r="H21" i="7" s="1"/>
  <c r="H19" i="7"/>
  <c r="Q14" i="7"/>
  <c r="Q15" i="7" s="1"/>
  <c r="Q13" i="7"/>
  <c r="V20" i="7"/>
  <c r="V21" i="7" s="1"/>
  <c r="V19" i="7"/>
  <c r="Z20" i="7"/>
  <c r="Z21" i="7" s="1"/>
  <c r="Z19" i="7"/>
  <c r="Y20" i="7"/>
  <c r="Y21" i="7" s="1"/>
  <c r="Y19" i="7"/>
  <c r="S14" i="7"/>
  <c r="S15" i="7" s="1"/>
  <c r="S13" i="7"/>
  <c r="Z26" i="7"/>
  <c r="Z27" i="7" s="1"/>
  <c r="Z25" i="7"/>
  <c r="J26" i="7"/>
  <c r="J27" i="7" s="1"/>
  <c r="J25" i="7"/>
  <c r="H26" i="7"/>
  <c r="H27" i="7" s="1"/>
  <c r="H25" i="7"/>
  <c r="D20" i="7"/>
  <c r="D21" i="7" s="1"/>
  <c r="D19" i="7"/>
  <c r="F20" i="7"/>
  <c r="F21" i="7" s="1"/>
  <c r="F19" i="7"/>
  <c r="O20" i="7"/>
  <c r="O21" i="7" s="1"/>
  <c r="O19" i="7"/>
  <c r="Y17" i="6"/>
  <c r="Y11" i="6"/>
  <c r="H14" i="7"/>
  <c r="H15" i="7" s="1"/>
  <c r="H13" i="7"/>
  <c r="F14" i="7"/>
  <c r="F15" i="7" s="1"/>
  <c r="F13" i="7"/>
  <c r="E7" i="7"/>
  <c r="E8" i="7"/>
  <c r="E9" i="7" s="1"/>
  <c r="Q7" i="7"/>
  <c r="Q8" i="7"/>
  <c r="Q9" i="7" s="1"/>
  <c r="AA8" i="7"/>
  <c r="AA9" i="7" s="1"/>
  <c r="AA7" i="7"/>
  <c r="C27" i="5"/>
  <c r="D22" i="5"/>
  <c r="E22" i="5" s="1"/>
  <c r="K20" i="7"/>
  <c r="K21" i="7" s="1"/>
  <c r="K19" i="7"/>
  <c r="J19" i="7"/>
  <c r="J20" i="7"/>
  <c r="J21" i="7" s="1"/>
  <c r="W20" i="7"/>
  <c r="W21" i="7" s="1"/>
  <c r="W19" i="7"/>
  <c r="K14" i="7"/>
  <c r="K15" i="7" s="1"/>
  <c r="K13" i="7"/>
  <c r="T14" i="7"/>
  <c r="T15" i="7" s="1"/>
  <c r="T13" i="7"/>
  <c r="I14" i="7"/>
  <c r="I15" i="7" s="1"/>
  <c r="I13" i="7"/>
  <c r="I7" i="7"/>
  <c r="I8" i="7"/>
  <c r="I9" i="7" s="1"/>
  <c r="F7" i="7"/>
  <c r="F8" i="7"/>
  <c r="F9" i="7" s="1"/>
  <c r="H7" i="7"/>
  <c r="H8" i="7"/>
  <c r="H9" i="7" s="1"/>
  <c r="Y26" i="7"/>
  <c r="Y27" i="7" s="1"/>
  <c r="Y25" i="7"/>
  <c r="U26" i="7"/>
  <c r="U27" i="7" s="1"/>
  <c r="U25" i="7"/>
  <c r="P26" i="7"/>
  <c r="P27" i="7" s="1"/>
  <c r="P25" i="7"/>
  <c r="E10" i="15"/>
  <c r="B13" i="12"/>
  <c r="E26" i="7"/>
  <c r="E27" i="7" s="1"/>
  <c r="E25" i="7"/>
  <c r="F26" i="7"/>
  <c r="F27" i="7" s="1"/>
  <c r="F25" i="7"/>
  <c r="X26" i="7"/>
  <c r="X27" i="7" s="1"/>
  <c r="X25" i="7"/>
  <c r="O7" i="7"/>
  <c r="O8" i="7"/>
  <c r="O9" i="7" s="1"/>
  <c r="L7" i="7"/>
  <c r="L8" i="7"/>
  <c r="L9" i="7" s="1"/>
  <c r="J8" i="7"/>
  <c r="J9" i="7" s="1"/>
  <c r="J7" i="7"/>
  <c r="X9" i="5"/>
  <c r="D37" i="10"/>
  <c r="B22" i="12" s="1"/>
  <c r="D26" i="7"/>
  <c r="D27" i="7" s="1"/>
  <c r="D25" i="7"/>
  <c r="AA26" i="7"/>
  <c r="AA27" i="7" s="1"/>
  <c r="AA25" i="7"/>
  <c r="N26" i="7"/>
  <c r="N27" i="7" s="1"/>
  <c r="N25" i="7"/>
  <c r="D14" i="7"/>
  <c r="D15" i="7" s="1"/>
  <c r="D13" i="7"/>
  <c r="N8" i="7"/>
  <c r="N9" i="7" s="1"/>
  <c r="N7" i="7"/>
  <c r="V8" i="7"/>
  <c r="V9" i="7" s="1"/>
  <c r="V7" i="7"/>
  <c r="T8" i="7"/>
  <c r="T9" i="7" s="1"/>
  <c r="T7" i="7"/>
  <c r="R20" i="7"/>
  <c r="R21" i="7" s="1"/>
  <c r="R19" i="7"/>
  <c r="M20" i="7"/>
  <c r="M21" i="7" s="1"/>
  <c r="M19" i="7"/>
  <c r="P20" i="7"/>
  <c r="P21" i="7" s="1"/>
  <c r="P19" i="7"/>
  <c r="C20" i="15"/>
  <c r="C11" i="12"/>
  <c r="P14" i="7"/>
  <c r="P15" i="7" s="1"/>
  <c r="P13" i="7"/>
  <c r="N14" i="7"/>
  <c r="N15" i="7" s="1"/>
  <c r="N13" i="7"/>
  <c r="Y14" i="7"/>
  <c r="Y15" i="7" s="1"/>
  <c r="Y13" i="7"/>
  <c r="S20" i="7"/>
  <c r="S21" i="7" s="1"/>
  <c r="S19" i="7"/>
  <c r="X20" i="7"/>
  <c r="X21" i="7" s="1"/>
  <c r="X19" i="7"/>
  <c r="P7" i="7"/>
  <c r="P8" i="7"/>
  <c r="P9" i="7" s="1"/>
  <c r="L26" i="7"/>
  <c r="L27" i="7" s="1"/>
  <c r="L25" i="7"/>
  <c r="K26" i="7"/>
  <c r="K27" i="7" s="1"/>
  <c r="K25" i="7"/>
  <c r="V26" i="7"/>
  <c r="V27" i="7" s="1"/>
  <c r="V25" i="7"/>
  <c r="AA20" i="7"/>
  <c r="AA21" i="7" s="1"/>
  <c r="AA19" i="7"/>
  <c r="U14" i="7"/>
  <c r="U15" i="7" s="1"/>
  <c r="U13" i="7"/>
  <c r="X14" i="7"/>
  <c r="X15" i="7" s="1"/>
  <c r="X13" i="7"/>
  <c r="J14" i="7"/>
  <c r="J15" i="7" s="1"/>
  <c r="J13" i="7"/>
  <c r="X8" i="7"/>
  <c r="X9" i="7" s="1"/>
  <c r="X7" i="7"/>
  <c r="R8" i="7"/>
  <c r="R9" i="7" s="1"/>
  <c r="R7" i="7"/>
  <c r="R14" i="7"/>
  <c r="R15" i="7" s="1"/>
  <c r="R13" i="7"/>
  <c r="U8" i="7"/>
  <c r="U9" i="7" s="1"/>
  <c r="U7" i="7"/>
  <c r="M8" i="7"/>
  <c r="M9" i="7" s="1"/>
  <c r="M7" i="7"/>
  <c r="Z8" i="7"/>
  <c r="Z9" i="7" s="1"/>
  <c r="Z7" i="7"/>
  <c r="M26" i="7"/>
  <c r="M27" i="7" s="1"/>
  <c r="M25" i="7"/>
  <c r="Q26" i="7"/>
  <c r="Q27" i="7" s="1"/>
  <c r="Q25" i="7"/>
  <c r="G26" i="7"/>
  <c r="G27" i="7" s="1"/>
  <c r="G25" i="7"/>
  <c r="D39" i="10" l="1"/>
  <c r="E33" i="10" s="1"/>
  <c r="Q30" i="7"/>
  <c r="E30" i="7"/>
  <c r="S30" i="7"/>
  <c r="Z30" i="7"/>
  <c r="R30" i="7"/>
  <c r="T30" i="7"/>
  <c r="F30" i="7"/>
  <c r="J30" i="7"/>
  <c r="U30" i="7"/>
  <c r="N30" i="7"/>
  <c r="E23" i="5"/>
  <c r="D14" i="12"/>
  <c r="D16" i="12" s="1"/>
  <c r="D20" i="8"/>
  <c r="I30" i="7"/>
  <c r="C31" i="6"/>
  <c r="I26" i="6"/>
  <c r="C25" i="6"/>
  <c r="C30" i="6" s="1"/>
  <c r="C14" i="12" s="1"/>
  <c r="C16" i="12" s="1"/>
  <c r="U28" i="6"/>
  <c r="O27" i="6"/>
  <c r="Y30" i="7"/>
  <c r="D30" i="7"/>
  <c r="Y4" i="6"/>
  <c r="Y10" i="6"/>
  <c r="L30" i="7"/>
  <c r="AA30" i="7"/>
  <c r="E11" i="5"/>
  <c r="W30" i="7"/>
  <c r="F17" i="5"/>
  <c r="E36" i="10"/>
  <c r="E37" i="10" s="1"/>
  <c r="D5" i="5"/>
  <c r="C24" i="6"/>
  <c r="O20" i="6"/>
  <c r="C18" i="6"/>
  <c r="C23" i="6" s="1"/>
  <c r="D16" i="8" s="1"/>
  <c r="U21" i="6"/>
  <c r="I19" i="6"/>
  <c r="P30" i="7"/>
  <c r="O30" i="7"/>
  <c r="B21" i="15"/>
  <c r="B16" i="12"/>
  <c r="D11" i="8"/>
  <c r="D12" i="10" s="1"/>
  <c r="D17" i="10" s="1"/>
  <c r="E11" i="10" s="1"/>
  <c r="C10" i="6"/>
  <c r="C30" i="5"/>
  <c r="O6" i="6"/>
  <c r="C4" i="6"/>
  <c r="C9" i="6" s="1"/>
  <c r="U7" i="6"/>
  <c r="I5" i="6"/>
  <c r="V4" i="6"/>
  <c r="V10" i="6"/>
  <c r="H30" i="7"/>
  <c r="G30" i="7"/>
  <c r="M30" i="7"/>
  <c r="X30" i="7"/>
  <c r="V30" i="7"/>
  <c r="X4" i="6"/>
  <c r="X10" i="6"/>
  <c r="K30" i="7"/>
  <c r="W4" i="6"/>
  <c r="W10" i="6"/>
  <c r="Z10" i="6"/>
  <c r="Z4" i="6"/>
  <c r="D12" i="8" l="1"/>
  <c r="E9" i="8" s="1"/>
  <c r="D19" i="10"/>
  <c r="D24" i="10" s="1"/>
  <c r="E18" i="10" s="1"/>
  <c r="D17" i="8"/>
  <c r="E14" i="8" s="1"/>
  <c r="F18" i="5"/>
  <c r="F19" i="5" s="1"/>
  <c r="D21" i="8"/>
  <c r="D26" i="10" s="1"/>
  <c r="D31" i="10" s="1"/>
  <c r="E25" i="10" s="1"/>
  <c r="E24" i="5"/>
  <c r="E25" i="5" s="1"/>
  <c r="C33" i="6"/>
  <c r="E13" i="5"/>
  <c r="E12" i="5"/>
  <c r="D6" i="5"/>
  <c r="D7" i="5" s="1"/>
  <c r="B57" i="15"/>
  <c r="C34" i="6"/>
  <c r="E14" i="10"/>
  <c r="E15" i="10" s="1"/>
  <c r="E39" i="10"/>
  <c r="F33" i="10" s="1"/>
  <c r="E27" i="5" l="1"/>
  <c r="F22" i="5"/>
  <c r="F21" i="5"/>
  <c r="G16" i="5"/>
  <c r="D29" i="5"/>
  <c r="D9" i="5"/>
  <c r="E4" i="5"/>
  <c r="E28" i="10"/>
  <c r="E29" i="10" s="1"/>
  <c r="F36" i="10"/>
  <c r="F37" i="10" s="1"/>
  <c r="E15" i="5"/>
  <c r="F10" i="5"/>
  <c r="E16" i="8"/>
  <c r="E19" i="10" s="1"/>
  <c r="D22" i="8"/>
  <c r="E19" i="8" s="1"/>
  <c r="E21" i="10"/>
  <c r="E22" i="10" s="1"/>
  <c r="E17" i="8" l="1"/>
  <c r="F14" i="8" s="1"/>
  <c r="E24" i="10"/>
  <c r="F18" i="10" s="1"/>
  <c r="F21" i="10"/>
  <c r="F22" i="10" s="1"/>
  <c r="E5" i="5"/>
  <c r="P6" i="6"/>
  <c r="D10" i="6"/>
  <c r="D34" i="6" s="1"/>
  <c r="D4" i="6"/>
  <c r="D9" i="6" s="1"/>
  <c r="D30" i="5"/>
  <c r="J5" i="6"/>
  <c r="V7" i="6"/>
  <c r="F11" i="5"/>
  <c r="W14" i="6"/>
  <c r="Q13" i="6"/>
  <c r="E11" i="6"/>
  <c r="E16" i="6" s="1"/>
  <c r="E10" i="8" s="1"/>
  <c r="E17" i="6"/>
  <c r="K12" i="6"/>
  <c r="G17" i="5"/>
  <c r="L19" i="6"/>
  <c r="F18" i="6"/>
  <c r="F23" i="6" s="1"/>
  <c r="F15" i="8" s="1"/>
  <c r="F16" i="8" s="1"/>
  <c r="X21" i="6"/>
  <c r="R20" i="6"/>
  <c r="F24" i="6"/>
  <c r="F39" i="10"/>
  <c r="G33" i="10" s="1"/>
  <c r="F23" i="5"/>
  <c r="W28" i="6"/>
  <c r="K26" i="6"/>
  <c r="E31" i="6"/>
  <c r="Q27" i="6"/>
  <c r="E25" i="6"/>
  <c r="E30" i="6" s="1"/>
  <c r="F19" i="10" l="1"/>
  <c r="F24" i="10" s="1"/>
  <c r="G18" i="10" s="1"/>
  <c r="F17" i="8"/>
  <c r="G14" i="8" s="1"/>
  <c r="F12" i="5"/>
  <c r="F13" i="5" s="1"/>
  <c r="E6" i="5"/>
  <c r="E7" i="5"/>
  <c r="E14" i="12"/>
  <c r="E16" i="12" s="1"/>
  <c r="E20" i="8"/>
  <c r="G36" i="10"/>
  <c r="G37" i="10" s="1"/>
  <c r="C57" i="15"/>
  <c r="F24" i="5"/>
  <c r="F25" i="5" s="1"/>
  <c r="G18" i="5"/>
  <c r="G19" i="5" s="1"/>
  <c r="E11" i="8"/>
  <c r="E12" i="10" s="1"/>
  <c r="E17" i="10" s="1"/>
  <c r="F11" i="10" s="1"/>
  <c r="D5" i="8"/>
  <c r="D33" i="6"/>
  <c r="G21" i="5" l="1"/>
  <c r="H16" i="5"/>
  <c r="F15" i="5"/>
  <c r="G10" i="5"/>
  <c r="F27" i="5"/>
  <c r="G22" i="5"/>
  <c r="E29" i="5"/>
  <c r="E9" i="5"/>
  <c r="F4" i="5"/>
  <c r="E21" i="8"/>
  <c r="E26" i="10" s="1"/>
  <c r="E31" i="10" s="1"/>
  <c r="F25" i="10" s="1"/>
  <c r="D6" i="8"/>
  <c r="D5" i="10" s="1"/>
  <c r="F14" i="10"/>
  <c r="F15" i="10" s="1"/>
  <c r="E12" i="8"/>
  <c r="F9" i="8" s="1"/>
  <c r="G39" i="10"/>
  <c r="H33" i="10" s="1"/>
  <c r="G21" i="10"/>
  <c r="G22" i="10" s="1"/>
  <c r="E22" i="8" l="1"/>
  <c r="F19" i="8" s="1"/>
  <c r="B21" i="12"/>
  <c r="D10" i="10"/>
  <c r="E4" i="10" s="1"/>
  <c r="Q6" i="6"/>
  <c r="K5" i="6"/>
  <c r="E30" i="5"/>
  <c r="W7" i="6"/>
  <c r="E4" i="6"/>
  <c r="E9" i="6" s="1"/>
  <c r="E10" i="6"/>
  <c r="E34" i="6" s="1"/>
  <c r="D7" i="8"/>
  <c r="E4" i="8" s="1"/>
  <c r="G23" i="5"/>
  <c r="L26" i="6"/>
  <c r="R27" i="6"/>
  <c r="F31" i="6"/>
  <c r="X28" i="6"/>
  <c r="F25" i="6"/>
  <c r="F30" i="6" s="1"/>
  <c r="H36" i="10"/>
  <c r="H37" i="10" s="1"/>
  <c r="G11" i="5"/>
  <c r="F17" i="6"/>
  <c r="X14" i="6"/>
  <c r="R13" i="6"/>
  <c r="F11" i="6"/>
  <c r="F16" i="6" s="1"/>
  <c r="F10" i="8" s="1"/>
  <c r="L12" i="6"/>
  <c r="F28" i="10"/>
  <c r="F29" i="10" s="1"/>
  <c r="H17" i="5"/>
  <c r="F5" i="5"/>
  <c r="M19" i="6"/>
  <c r="G18" i="6"/>
  <c r="G23" i="6" s="1"/>
  <c r="G15" i="8" s="1"/>
  <c r="G24" i="6"/>
  <c r="Y21" i="6"/>
  <c r="S20" i="6"/>
  <c r="G12" i="5" l="1"/>
  <c r="G13" i="5" s="1"/>
  <c r="D57" i="15"/>
  <c r="H18" i="5"/>
  <c r="H19" i="5" s="1"/>
  <c r="H39" i="10"/>
  <c r="I33" i="10" s="1"/>
  <c r="F11" i="8"/>
  <c r="F12" i="10" s="1"/>
  <c r="F17" i="10" s="1"/>
  <c r="G11" i="10" s="1"/>
  <c r="G24" i="5"/>
  <c r="G25" i="5" s="1"/>
  <c r="G16" i="8"/>
  <c r="G19" i="10" s="1"/>
  <c r="G24" i="10" s="1"/>
  <c r="H18" i="10" s="1"/>
  <c r="E6" i="8"/>
  <c r="E5" i="10" s="1"/>
  <c r="C21" i="12" s="1"/>
  <c r="E7" i="10"/>
  <c r="E8" i="10" s="1"/>
  <c r="C22" i="12" s="1"/>
  <c r="F14" i="12"/>
  <c r="F16" i="12" s="1"/>
  <c r="F20" i="8"/>
  <c r="E5" i="8"/>
  <c r="E33" i="6"/>
  <c r="B24" i="12"/>
  <c r="F6" i="5"/>
  <c r="F7" i="5" s="1"/>
  <c r="E10" i="10" l="1"/>
  <c r="F4" i="10" s="1"/>
  <c r="H21" i="5"/>
  <c r="I16" i="5"/>
  <c r="G27" i="5"/>
  <c r="H22" i="5"/>
  <c r="G15" i="5"/>
  <c r="H10" i="5"/>
  <c r="E7" i="8"/>
  <c r="F4" i="8" s="1"/>
  <c r="G17" i="8"/>
  <c r="H14" i="8" s="1"/>
  <c r="F21" i="8"/>
  <c r="F26" i="10" s="1"/>
  <c r="F31" i="10" s="1"/>
  <c r="G25" i="10" s="1"/>
  <c r="F22" i="8"/>
  <c r="G19" i="8" s="1"/>
  <c r="F7" i="10"/>
  <c r="F8" i="10" s="1"/>
  <c r="D22" i="12" s="1"/>
  <c r="I36" i="10"/>
  <c r="I37" i="10" s="1"/>
  <c r="B25" i="12"/>
  <c r="B26" i="12" s="1"/>
  <c r="B27" i="12" s="1"/>
  <c r="H21" i="10"/>
  <c r="H22" i="10" s="1"/>
  <c r="F29" i="5"/>
  <c r="F9" i="5"/>
  <c r="G4" i="5"/>
  <c r="G14" i="10"/>
  <c r="G15" i="10" s="1"/>
  <c r="F12" i="8"/>
  <c r="G9" i="8" s="1"/>
  <c r="G17" i="6" l="1"/>
  <c r="S13" i="6"/>
  <c r="G11" i="6"/>
  <c r="G16" i="6" s="1"/>
  <c r="G10" i="8" s="1"/>
  <c r="G11" i="8" s="1"/>
  <c r="G12" i="10" s="1"/>
  <c r="G17" i="10" s="1"/>
  <c r="H11" i="10" s="1"/>
  <c r="Y14" i="6"/>
  <c r="M12" i="6"/>
  <c r="H11" i="5"/>
  <c r="H23" i="5"/>
  <c r="G28" i="10"/>
  <c r="G29" i="10" s="1"/>
  <c r="G31" i="6"/>
  <c r="Y28" i="6"/>
  <c r="S27" i="6"/>
  <c r="G25" i="6"/>
  <c r="G30" i="6" s="1"/>
  <c r="M26" i="6"/>
  <c r="B19" i="15"/>
  <c r="C5" i="12"/>
  <c r="B5" i="13"/>
  <c r="B7" i="13" s="1"/>
  <c r="B9" i="13" s="1"/>
  <c r="I17" i="5"/>
  <c r="G5" i="5"/>
  <c r="L5" i="6"/>
  <c r="F4" i="6"/>
  <c r="F9" i="6" s="1"/>
  <c r="F30" i="5"/>
  <c r="X7" i="6"/>
  <c r="R6" i="6"/>
  <c r="F10" i="6"/>
  <c r="F34" i="6" s="1"/>
  <c r="I39" i="10"/>
  <c r="J33" i="10" s="1"/>
  <c r="Z21" i="6"/>
  <c r="N19" i="6"/>
  <c r="H18" i="6"/>
  <c r="H23" i="6" s="1"/>
  <c r="H15" i="8" s="1"/>
  <c r="H24" i="6"/>
  <c r="T20" i="6"/>
  <c r="G12" i="8" l="1"/>
  <c r="H9" i="8" s="1"/>
  <c r="G6" i="5"/>
  <c r="G7" i="5"/>
  <c r="I18" i="5"/>
  <c r="I19" i="5" s="1"/>
  <c r="C24" i="12"/>
  <c r="H14" i="10"/>
  <c r="H15" i="10" s="1"/>
  <c r="H24" i="5"/>
  <c r="H25" i="5" s="1"/>
  <c r="H16" i="8"/>
  <c r="H19" i="10" s="1"/>
  <c r="H24" i="10" s="1"/>
  <c r="I18" i="10" s="1"/>
  <c r="G14" i="12"/>
  <c r="G16" i="12" s="1"/>
  <c r="G20" i="8"/>
  <c r="H12" i="5"/>
  <c r="H13" i="5" s="1"/>
  <c r="E57" i="15"/>
  <c r="J36" i="10"/>
  <c r="J37" i="10" s="1"/>
  <c r="F33" i="6"/>
  <c r="F5" i="8"/>
  <c r="B10" i="13"/>
  <c r="H27" i="5" l="1"/>
  <c r="I22" i="5"/>
  <c r="I21" i="5"/>
  <c r="J16" i="5"/>
  <c r="H15" i="5"/>
  <c r="I10" i="5"/>
  <c r="F6" i="8"/>
  <c r="F5" i="10" s="1"/>
  <c r="G21" i="8"/>
  <c r="G26" i="10" s="1"/>
  <c r="G31" i="10" s="1"/>
  <c r="H25" i="10" s="1"/>
  <c r="I21" i="10"/>
  <c r="I22" i="10" s="1"/>
  <c r="J39" i="10"/>
  <c r="K33" i="10" s="1"/>
  <c r="G29" i="5"/>
  <c r="G9" i="5"/>
  <c r="H4" i="5"/>
  <c r="C25" i="12"/>
  <c r="C26" i="12" s="1"/>
  <c r="C27" i="12" s="1"/>
  <c r="H17" i="8"/>
  <c r="I14" i="8" s="1"/>
  <c r="M5" i="6" l="1"/>
  <c r="G4" i="6"/>
  <c r="G9" i="6" s="1"/>
  <c r="G30" i="5"/>
  <c r="G10" i="6"/>
  <c r="G34" i="6" s="1"/>
  <c r="Y7" i="6"/>
  <c r="S6" i="6"/>
  <c r="K36" i="10"/>
  <c r="K37" i="10" s="1"/>
  <c r="H28" i="10"/>
  <c r="H29" i="10" s="1"/>
  <c r="I23" i="5"/>
  <c r="D21" i="12"/>
  <c r="F10" i="10"/>
  <c r="G4" i="10" s="1"/>
  <c r="F7" i="8"/>
  <c r="G4" i="8" s="1"/>
  <c r="I11" i="5"/>
  <c r="T13" i="6"/>
  <c r="H11" i="6"/>
  <c r="H16" i="6" s="1"/>
  <c r="H10" i="8" s="1"/>
  <c r="Z14" i="6"/>
  <c r="N12" i="6"/>
  <c r="H17" i="6"/>
  <c r="J17" i="5"/>
  <c r="I24" i="6"/>
  <c r="O19" i="6"/>
  <c r="U20" i="6"/>
  <c r="I18" i="6"/>
  <c r="I23" i="6" s="1"/>
  <c r="I15" i="8" s="1"/>
  <c r="C19" i="15"/>
  <c r="D5" i="12"/>
  <c r="C5" i="13"/>
  <c r="C7" i="13" s="1"/>
  <c r="C9" i="13" s="1"/>
  <c r="H5" i="5"/>
  <c r="G22" i="8"/>
  <c r="H19" i="8" s="1"/>
  <c r="H31" i="6"/>
  <c r="T27" i="6"/>
  <c r="Z28" i="6"/>
  <c r="H25" i="6"/>
  <c r="H30" i="6" s="1"/>
  <c r="N26" i="6"/>
  <c r="H14" i="12" l="1"/>
  <c r="H16" i="12" s="1"/>
  <c r="H20" i="8"/>
  <c r="K39" i="10"/>
  <c r="L33" i="10" s="1"/>
  <c r="H11" i="8"/>
  <c r="H12" i="10" s="1"/>
  <c r="H17" i="10" s="1"/>
  <c r="I11" i="10" s="1"/>
  <c r="I12" i="5"/>
  <c r="I13" i="5" s="1"/>
  <c r="F57" i="15"/>
  <c r="I16" i="8"/>
  <c r="I19" i="10" s="1"/>
  <c r="I24" i="10" s="1"/>
  <c r="J18" i="10" s="1"/>
  <c r="G33" i="6"/>
  <c r="G5" i="8"/>
  <c r="D24" i="12"/>
  <c r="D25" i="12" s="1"/>
  <c r="D26" i="12" s="1"/>
  <c r="D27" i="12" s="1"/>
  <c r="G7" i="10"/>
  <c r="G8" i="10" s="1"/>
  <c r="E22" i="12" s="1"/>
  <c r="I24" i="5"/>
  <c r="I25" i="5" s="1"/>
  <c r="H6" i="5"/>
  <c r="H7" i="5" s="1"/>
  <c r="J18" i="5"/>
  <c r="J19" i="5"/>
  <c r="C10" i="13"/>
  <c r="G6" i="8"/>
  <c r="G5" i="10" s="1"/>
  <c r="E21" i="12" s="1"/>
  <c r="H12" i="8" l="1"/>
  <c r="I9" i="8" s="1"/>
  <c r="I27" i="5"/>
  <c r="J22" i="5"/>
  <c r="D19" i="15"/>
  <c r="E5" i="12"/>
  <c r="D5" i="13"/>
  <c r="D7" i="13" s="1"/>
  <c r="D9" i="13" s="1"/>
  <c r="H29" i="5"/>
  <c r="H9" i="5"/>
  <c r="I4" i="5"/>
  <c r="I14" i="10"/>
  <c r="I15" i="10" s="1"/>
  <c r="G7" i="8"/>
  <c r="H4" i="8" s="1"/>
  <c r="J21" i="10"/>
  <c r="J22" i="10" s="1"/>
  <c r="L36" i="10"/>
  <c r="L37" i="10" s="1"/>
  <c r="I15" i="5"/>
  <c r="J10" i="5"/>
  <c r="J21" i="5"/>
  <c r="K16" i="5"/>
  <c r="H21" i="8"/>
  <c r="H26" i="10" s="1"/>
  <c r="H31" i="10" s="1"/>
  <c r="I25" i="10" s="1"/>
  <c r="G10" i="10"/>
  <c r="H4" i="10" s="1"/>
  <c r="I17" i="8"/>
  <c r="J14" i="8" s="1"/>
  <c r="Z7" i="6" l="1"/>
  <c r="H10" i="6"/>
  <c r="H34" i="6" s="1"/>
  <c r="N5" i="6"/>
  <c r="H30" i="5"/>
  <c r="G57" i="15" s="1"/>
  <c r="T6" i="6"/>
  <c r="H4" i="6"/>
  <c r="H9" i="6" s="1"/>
  <c r="I28" i="10"/>
  <c r="I29" i="10" s="1"/>
  <c r="K17" i="5"/>
  <c r="J24" i="6"/>
  <c r="P19" i="6"/>
  <c r="V20" i="6"/>
  <c r="J18" i="6"/>
  <c r="J23" i="6" s="1"/>
  <c r="J15" i="8" s="1"/>
  <c r="J16" i="8" s="1"/>
  <c r="H22" i="8"/>
  <c r="I19" i="8" s="1"/>
  <c r="D10" i="13"/>
  <c r="J11" i="5"/>
  <c r="E27" i="12"/>
  <c r="E24" i="12"/>
  <c r="E25" i="12" s="1"/>
  <c r="E26" i="12" s="1"/>
  <c r="U13" i="6"/>
  <c r="O12" i="6"/>
  <c r="I17" i="6"/>
  <c r="I11" i="6"/>
  <c r="I16" i="6" s="1"/>
  <c r="I10" i="8" s="1"/>
  <c r="H7" i="10"/>
  <c r="H8" i="10" s="1"/>
  <c r="F22" i="12" s="1"/>
  <c r="J23" i="5"/>
  <c r="L39" i="10"/>
  <c r="M33" i="10" s="1"/>
  <c r="I5" i="5"/>
  <c r="I31" i="6"/>
  <c r="U27" i="6"/>
  <c r="I25" i="6"/>
  <c r="I30" i="6" s="1"/>
  <c r="O26" i="6"/>
  <c r="J19" i="10" l="1"/>
  <c r="J24" i="10" s="1"/>
  <c r="K18" i="10" s="1"/>
  <c r="J17" i="8"/>
  <c r="K14" i="8" s="1"/>
  <c r="H5" i="8"/>
  <c r="H33" i="6"/>
  <c r="E19" i="15"/>
  <c r="E5" i="13"/>
  <c r="E7" i="13" s="1"/>
  <c r="E9" i="13" s="1"/>
  <c r="F5" i="12"/>
  <c r="J12" i="5"/>
  <c r="J13" i="5" s="1"/>
  <c r="I20" i="8"/>
  <c r="I14" i="12"/>
  <c r="I16" i="12" s="1"/>
  <c r="I21" i="8"/>
  <c r="I26" i="10" s="1"/>
  <c r="I31" i="10" s="1"/>
  <c r="J25" i="10" s="1"/>
  <c r="I11" i="8"/>
  <c r="I12" i="10" s="1"/>
  <c r="I17" i="10" s="1"/>
  <c r="J11" i="10" s="1"/>
  <c r="M36" i="10"/>
  <c r="M37" i="10" s="1"/>
  <c r="K18" i="5"/>
  <c r="K19" i="5" s="1"/>
  <c r="I6" i="5"/>
  <c r="I7" i="5" s="1"/>
  <c r="J24" i="5"/>
  <c r="J25" i="5"/>
  <c r="M39" i="10" l="1"/>
  <c r="N33" i="10" s="1"/>
  <c r="J15" i="5"/>
  <c r="K10" i="5"/>
  <c r="I29" i="5"/>
  <c r="I9" i="5"/>
  <c r="J4" i="5"/>
  <c r="K21" i="5"/>
  <c r="L16" i="5"/>
  <c r="N36" i="10"/>
  <c r="N37" i="10" s="1"/>
  <c r="J28" i="10"/>
  <c r="J29" i="10" s="1"/>
  <c r="I22" i="8"/>
  <c r="J19" i="8" s="1"/>
  <c r="H6" i="8"/>
  <c r="H5" i="10" s="1"/>
  <c r="H7" i="8"/>
  <c r="I4" i="8" s="1"/>
  <c r="J14" i="10"/>
  <c r="J15" i="10" s="1"/>
  <c r="I12" i="8"/>
  <c r="J9" i="8" s="1"/>
  <c r="J27" i="5"/>
  <c r="K22" i="5"/>
  <c r="E10" i="13"/>
  <c r="K21" i="10"/>
  <c r="K22" i="10" s="1"/>
  <c r="N39" i="10" l="1"/>
  <c r="O33" i="10" s="1"/>
  <c r="L17" i="5"/>
  <c r="K23" i="5"/>
  <c r="J5" i="5"/>
  <c r="F21" i="12"/>
  <c r="H10" i="10"/>
  <c r="I4" i="10" s="1"/>
  <c r="K11" i="5"/>
  <c r="O36" i="10"/>
  <c r="O37" i="10" s="1"/>
  <c r="K24" i="6"/>
  <c r="W20" i="6"/>
  <c r="K18" i="6"/>
  <c r="K23" i="6" s="1"/>
  <c r="K15" i="8" s="1"/>
  <c r="Q19" i="6"/>
  <c r="J31" i="6"/>
  <c r="P26" i="6"/>
  <c r="J25" i="6"/>
  <c r="J30" i="6" s="1"/>
  <c r="V27" i="6"/>
  <c r="U6" i="6"/>
  <c r="I4" i="6"/>
  <c r="I9" i="6" s="1"/>
  <c r="I30" i="5"/>
  <c r="H57" i="15" s="1"/>
  <c r="I10" i="6"/>
  <c r="I34" i="6" s="1"/>
  <c r="O5" i="6"/>
  <c r="P12" i="6"/>
  <c r="J11" i="6"/>
  <c r="J16" i="6" s="1"/>
  <c r="J10" i="8" s="1"/>
  <c r="J11" i="8" s="1"/>
  <c r="J12" i="10" s="1"/>
  <c r="J17" i="10" s="1"/>
  <c r="K11" i="10" s="1"/>
  <c r="V13" i="6"/>
  <c r="J17" i="6"/>
  <c r="O39" i="10" l="1"/>
  <c r="P33" i="10" s="1"/>
  <c r="K14" i="10"/>
  <c r="K15" i="10" s="1"/>
  <c r="F24" i="12"/>
  <c r="F25" i="12" s="1"/>
  <c r="F26" i="12" s="1"/>
  <c r="F27" i="12" s="1"/>
  <c r="K12" i="5"/>
  <c r="K13" i="5" s="1"/>
  <c r="K16" i="8"/>
  <c r="K19" i="10" s="1"/>
  <c r="K24" i="10" s="1"/>
  <c r="L18" i="10" s="1"/>
  <c r="J6" i="5"/>
  <c r="J7" i="5" s="1"/>
  <c r="L18" i="5"/>
  <c r="L19" i="5" s="1"/>
  <c r="I7" i="10"/>
  <c r="I8" i="10" s="1"/>
  <c r="G22" i="12" s="1"/>
  <c r="J14" i="12"/>
  <c r="J16" i="12" s="1"/>
  <c r="J20" i="8"/>
  <c r="J12" i="8"/>
  <c r="K9" i="8" s="1"/>
  <c r="P36" i="10"/>
  <c r="P37" i="10" s="1"/>
  <c r="P39" i="10"/>
  <c r="Q33" i="10" s="1"/>
  <c r="K24" i="5"/>
  <c r="K25" i="5" s="1"/>
  <c r="I5" i="8"/>
  <c r="I33" i="6"/>
  <c r="K17" i="8" l="1"/>
  <c r="L14" i="8" s="1"/>
  <c r="L21" i="5"/>
  <c r="M16" i="5"/>
  <c r="K27" i="5"/>
  <c r="L22" i="5"/>
  <c r="K15" i="5"/>
  <c r="L10" i="5"/>
  <c r="J9" i="5"/>
  <c r="J29" i="5"/>
  <c r="K4" i="5"/>
  <c r="F19" i="15"/>
  <c r="F5" i="13"/>
  <c r="F7" i="13" s="1"/>
  <c r="F9" i="13" s="1"/>
  <c r="G5" i="12"/>
  <c r="I6" i="8"/>
  <c r="I5" i="10" s="1"/>
  <c r="Q36" i="10"/>
  <c r="Q37" i="10" s="1"/>
  <c r="J21" i="8"/>
  <c r="J26" i="10" s="1"/>
  <c r="J31" i="10" s="1"/>
  <c r="K25" i="10" s="1"/>
  <c r="L21" i="10"/>
  <c r="L22" i="10" s="1"/>
  <c r="J22" i="8" l="1"/>
  <c r="K19" i="8" s="1"/>
  <c r="K28" i="10"/>
  <c r="K29" i="10" s="1"/>
  <c r="Q12" i="6"/>
  <c r="K11" i="6"/>
  <c r="K16" i="6" s="1"/>
  <c r="K10" i="8" s="1"/>
  <c r="K17" i="6"/>
  <c r="W13" i="6"/>
  <c r="L23" i="5"/>
  <c r="K31" i="6"/>
  <c r="Q26" i="6"/>
  <c r="K25" i="6"/>
  <c r="K30" i="6" s="1"/>
  <c r="W27" i="6"/>
  <c r="G21" i="12"/>
  <c r="I10" i="10"/>
  <c r="J4" i="10" s="1"/>
  <c r="L11" i="5"/>
  <c r="F10" i="13"/>
  <c r="Q39" i="10"/>
  <c r="R33" i="10" s="1"/>
  <c r="M17" i="5"/>
  <c r="J10" i="6"/>
  <c r="J34" i="6" s="1"/>
  <c r="V6" i="6"/>
  <c r="J4" i="6"/>
  <c r="J9" i="6" s="1"/>
  <c r="P5" i="6"/>
  <c r="J30" i="5"/>
  <c r="I57" i="15" s="1"/>
  <c r="I7" i="8"/>
  <c r="J4" i="8" s="1"/>
  <c r="K5" i="5"/>
  <c r="X20" i="6"/>
  <c r="L24" i="6"/>
  <c r="L18" i="6"/>
  <c r="L23" i="6" s="1"/>
  <c r="L15" i="8" s="1"/>
  <c r="R19" i="6"/>
  <c r="K11" i="8" l="1"/>
  <c r="K12" i="10" s="1"/>
  <c r="K17" i="10" s="1"/>
  <c r="L11" i="10" s="1"/>
  <c r="K12" i="8"/>
  <c r="L9" i="8" s="1"/>
  <c r="L16" i="8"/>
  <c r="L19" i="10" s="1"/>
  <c r="L24" i="10" s="1"/>
  <c r="M18" i="10" s="1"/>
  <c r="L17" i="8"/>
  <c r="M14" i="8" s="1"/>
  <c r="J7" i="10"/>
  <c r="J8" i="10" s="1"/>
  <c r="H22" i="12" s="1"/>
  <c r="R36" i="10"/>
  <c r="R37" i="10" s="1"/>
  <c r="G24" i="12"/>
  <c r="G25" i="12" s="1"/>
  <c r="G26" i="12" s="1"/>
  <c r="G27" i="12" s="1"/>
  <c r="L12" i="5"/>
  <c r="L13" i="5" s="1"/>
  <c r="L24" i="5"/>
  <c r="L25" i="5" s="1"/>
  <c r="M18" i="5"/>
  <c r="M19" i="5" s="1"/>
  <c r="K14" i="12"/>
  <c r="K16" i="12" s="1"/>
  <c r="K20" i="8"/>
  <c r="J5" i="8"/>
  <c r="J33" i="6"/>
  <c r="K6" i="5"/>
  <c r="K7" i="5" s="1"/>
  <c r="R39" i="10" l="1"/>
  <c r="S33" i="10" s="1"/>
  <c r="M21" i="5"/>
  <c r="N16" i="5"/>
  <c r="L27" i="5"/>
  <c r="M22" i="5"/>
  <c r="L15" i="5"/>
  <c r="M10" i="5"/>
  <c r="K9" i="5"/>
  <c r="K29" i="5"/>
  <c r="L4" i="5"/>
  <c r="G19" i="15"/>
  <c r="G5" i="13"/>
  <c r="G7" i="13" s="1"/>
  <c r="G9" i="13" s="1"/>
  <c r="G10" i="13" s="1"/>
  <c r="H5" i="12"/>
  <c r="J6" i="8"/>
  <c r="J5" i="10" s="1"/>
  <c r="S36" i="10"/>
  <c r="S37" i="10" s="1"/>
  <c r="K21" i="8"/>
  <c r="K26" i="10" s="1"/>
  <c r="K31" i="10" s="1"/>
  <c r="L25" i="10" s="1"/>
  <c r="M21" i="10"/>
  <c r="M22" i="10" s="1"/>
  <c r="L14" i="10"/>
  <c r="L15" i="10" s="1"/>
  <c r="K22" i="8" l="1"/>
  <c r="L19" i="8" s="1"/>
  <c r="S39" i="10"/>
  <c r="T33" i="10" s="1"/>
  <c r="T36" i="10"/>
  <c r="T37" i="10" s="1"/>
  <c r="K10" i="6"/>
  <c r="K34" i="6" s="1"/>
  <c r="W6" i="6"/>
  <c r="K4" i="6"/>
  <c r="K9" i="6" s="1"/>
  <c r="Q5" i="6"/>
  <c r="K30" i="5"/>
  <c r="J57" i="15" s="1"/>
  <c r="L17" i="6"/>
  <c r="R12" i="6"/>
  <c r="X13" i="6"/>
  <c r="L11" i="6"/>
  <c r="L16" i="6" s="1"/>
  <c r="L10" i="8" s="1"/>
  <c r="M23" i="5"/>
  <c r="H21" i="12"/>
  <c r="J10" i="10"/>
  <c r="K4" i="10" s="1"/>
  <c r="L31" i="6"/>
  <c r="L25" i="6"/>
  <c r="L30" i="6" s="1"/>
  <c r="X27" i="6"/>
  <c r="R26" i="6"/>
  <c r="J7" i="8"/>
  <c r="K4" i="8" s="1"/>
  <c r="M11" i="5"/>
  <c r="L5" i="5"/>
  <c r="N17" i="5"/>
  <c r="L28" i="10"/>
  <c r="L29" i="10" s="1"/>
  <c r="Y20" i="6"/>
  <c r="M18" i="6"/>
  <c r="M23" i="6" s="1"/>
  <c r="M15" i="8" s="1"/>
  <c r="M24" i="6"/>
  <c r="S19" i="6"/>
  <c r="M12" i="5" l="1"/>
  <c r="M13" i="5"/>
  <c r="M24" i="5"/>
  <c r="M25" i="5" s="1"/>
  <c r="K5" i="8"/>
  <c r="K33" i="6"/>
  <c r="K7" i="10"/>
  <c r="K8" i="10" s="1"/>
  <c r="I22" i="12" s="1"/>
  <c r="L6" i="5"/>
  <c r="L7" i="5" s="1"/>
  <c r="L14" i="12"/>
  <c r="L16" i="12" s="1"/>
  <c r="L20" i="8"/>
  <c r="L11" i="8"/>
  <c r="L12" i="10" s="1"/>
  <c r="L17" i="10" s="1"/>
  <c r="M11" i="10" s="1"/>
  <c r="L12" i="8"/>
  <c r="M9" i="8" s="1"/>
  <c r="N18" i="5"/>
  <c r="N19" i="5" s="1"/>
  <c r="M16" i="8"/>
  <c r="M19" i="10" s="1"/>
  <c r="M24" i="10" s="1"/>
  <c r="N18" i="10" s="1"/>
  <c r="H24" i="12"/>
  <c r="H25" i="12" s="1"/>
  <c r="H26" i="12" s="1"/>
  <c r="H27" i="12" s="1"/>
  <c r="T39" i="10"/>
  <c r="U33" i="10" s="1"/>
  <c r="M17" i="8" l="1"/>
  <c r="N14" i="8" s="1"/>
  <c r="L9" i="5"/>
  <c r="L29" i="5"/>
  <c r="M4" i="5"/>
  <c r="M27" i="5"/>
  <c r="N22" i="5"/>
  <c r="U36" i="10"/>
  <c r="U37" i="10" s="1"/>
  <c r="N21" i="10"/>
  <c r="N22" i="10" s="1"/>
  <c r="K6" i="8"/>
  <c r="K5" i="10" s="1"/>
  <c r="N21" i="5"/>
  <c r="O16" i="5"/>
  <c r="M14" i="10"/>
  <c r="M15" i="10" s="1"/>
  <c r="L21" i="8"/>
  <c r="L26" i="10" s="1"/>
  <c r="L31" i="10" s="1"/>
  <c r="M25" i="10" s="1"/>
  <c r="M15" i="5"/>
  <c r="N10" i="5"/>
  <c r="H19" i="15"/>
  <c r="H5" i="13"/>
  <c r="H7" i="13" s="1"/>
  <c r="H9" i="13" s="1"/>
  <c r="H10" i="13" s="1"/>
  <c r="I5" i="12"/>
  <c r="U39" i="10" l="1"/>
  <c r="V33" i="10" s="1"/>
  <c r="I21" i="12"/>
  <c r="K10" i="10"/>
  <c r="L4" i="10" s="1"/>
  <c r="V36" i="10"/>
  <c r="V37" i="10" s="1"/>
  <c r="L22" i="8"/>
  <c r="M19" i="8" s="1"/>
  <c r="N23" i="5"/>
  <c r="I24" i="12"/>
  <c r="N11" i="5"/>
  <c r="O17" i="5"/>
  <c r="M17" i="6"/>
  <c r="S12" i="6"/>
  <c r="Y13" i="6"/>
  <c r="M11" i="6"/>
  <c r="M16" i="6" s="1"/>
  <c r="M10" i="8" s="1"/>
  <c r="T19" i="6"/>
  <c r="N18" i="6"/>
  <c r="N23" i="6" s="1"/>
  <c r="N15" i="8" s="1"/>
  <c r="Z20" i="6"/>
  <c r="N24" i="6"/>
  <c r="M28" i="10"/>
  <c r="M29" i="10" s="1"/>
  <c r="S26" i="6"/>
  <c r="M31" i="6"/>
  <c r="M25" i="6"/>
  <c r="M30" i="6" s="1"/>
  <c r="Y27" i="6"/>
  <c r="K7" i="8"/>
  <c r="L4" i="8" s="1"/>
  <c r="M5" i="5"/>
  <c r="X6" i="6"/>
  <c r="L30" i="5"/>
  <c r="K57" i="15" s="1"/>
  <c r="L4" i="6"/>
  <c r="L9" i="6" s="1"/>
  <c r="R5" i="6"/>
  <c r="L10" i="6"/>
  <c r="L34" i="6" s="1"/>
  <c r="M6" i="5" l="1"/>
  <c r="M7" i="5" s="1"/>
  <c r="N12" i="5"/>
  <c r="N13" i="5" s="1"/>
  <c r="V39" i="10"/>
  <c r="W33" i="10" s="1"/>
  <c r="O18" i="5"/>
  <c r="O19" i="5" s="1"/>
  <c r="N16" i="8"/>
  <c r="N19" i="10" s="1"/>
  <c r="N24" i="10" s="1"/>
  <c r="O18" i="10" s="1"/>
  <c r="M14" i="12"/>
  <c r="M16" i="12" s="1"/>
  <c r="M20" i="8"/>
  <c r="L7" i="10"/>
  <c r="L8" i="10" s="1"/>
  <c r="J22" i="12" s="1"/>
  <c r="N24" i="5"/>
  <c r="N25" i="5" s="1"/>
  <c r="L5" i="8"/>
  <c r="L6" i="8" s="1"/>
  <c r="L33" i="6"/>
  <c r="M11" i="8"/>
  <c r="M12" i="10" s="1"/>
  <c r="M17" i="10" s="1"/>
  <c r="N11" i="10" s="1"/>
  <c r="M12" i="8"/>
  <c r="N9" i="8" s="1"/>
  <c r="I25" i="12"/>
  <c r="I26" i="12" s="1"/>
  <c r="I27" i="12" s="1"/>
  <c r="O21" i="5" l="1"/>
  <c r="P16" i="5"/>
  <c r="L5" i="10"/>
  <c r="L7" i="8"/>
  <c r="M4" i="8" s="1"/>
  <c r="N15" i="5"/>
  <c r="O10" i="5"/>
  <c r="M29" i="5"/>
  <c r="M9" i="5"/>
  <c r="N4" i="5"/>
  <c r="I19" i="15"/>
  <c r="J5" i="12"/>
  <c r="I5" i="13"/>
  <c r="I7" i="13" s="1"/>
  <c r="I9" i="13" s="1"/>
  <c r="I10" i="13" s="1"/>
  <c r="N14" i="10"/>
  <c r="N15" i="10" s="1"/>
  <c r="O21" i="10"/>
  <c r="O22" i="10" s="1"/>
  <c r="N17" i="8"/>
  <c r="O14" i="8" s="1"/>
  <c r="N27" i="5"/>
  <c r="O22" i="5"/>
  <c r="W36" i="10"/>
  <c r="W37" i="10" s="1"/>
  <c r="W39" i="10"/>
  <c r="X33" i="10" s="1"/>
  <c r="M21" i="8"/>
  <c r="M26" i="10" s="1"/>
  <c r="M31" i="10" s="1"/>
  <c r="N25" i="10" s="1"/>
  <c r="X36" i="10" l="1"/>
  <c r="X37" i="10" s="1"/>
  <c r="O11" i="5"/>
  <c r="O23" i="5"/>
  <c r="N17" i="6"/>
  <c r="T12" i="6"/>
  <c r="Z13" i="6"/>
  <c r="N11" i="6"/>
  <c r="N16" i="6" s="1"/>
  <c r="N10" i="8" s="1"/>
  <c r="N31" i="6"/>
  <c r="N25" i="6"/>
  <c r="N30" i="6" s="1"/>
  <c r="Z27" i="6"/>
  <c r="T26" i="6"/>
  <c r="J21" i="12"/>
  <c r="J24" i="12" s="1"/>
  <c r="L10" i="10"/>
  <c r="M4" i="10" s="1"/>
  <c r="M22" i="8"/>
  <c r="N19" i="8" s="1"/>
  <c r="N5" i="5"/>
  <c r="P17" i="5"/>
  <c r="N28" i="10"/>
  <c r="N29" i="10" s="1"/>
  <c r="Y6" i="6"/>
  <c r="S5" i="6"/>
  <c r="M30" i="5"/>
  <c r="L57" i="15" s="1"/>
  <c r="M4" i="6"/>
  <c r="M9" i="6" s="1"/>
  <c r="M10" i="6"/>
  <c r="M34" i="6" s="1"/>
  <c r="U19" i="6"/>
  <c r="O18" i="6"/>
  <c r="O23" i="6" s="1"/>
  <c r="O15" i="8" s="1"/>
  <c r="O24" i="6"/>
  <c r="O16" i="8" l="1"/>
  <c r="O19" i="10" s="1"/>
  <c r="O24" i="10" s="1"/>
  <c r="P18" i="10" s="1"/>
  <c r="P21" i="10" s="1"/>
  <c r="P22" i="10" s="1"/>
  <c r="M7" i="10"/>
  <c r="M8" i="10" s="1"/>
  <c r="K22" i="12" s="1"/>
  <c r="P18" i="5"/>
  <c r="P19" i="5" s="1"/>
  <c r="N14" i="12"/>
  <c r="N16" i="12" s="1"/>
  <c r="N20" i="8"/>
  <c r="O24" i="5"/>
  <c r="O25" i="5" s="1"/>
  <c r="O12" i="5"/>
  <c r="O13" i="5" s="1"/>
  <c r="N11" i="8"/>
  <c r="N12" i="10" s="1"/>
  <c r="N17" i="10" s="1"/>
  <c r="O11" i="10" s="1"/>
  <c r="J25" i="12"/>
  <c r="J26" i="12" s="1"/>
  <c r="J27" i="12" s="1"/>
  <c r="N6" i="5"/>
  <c r="N7" i="5"/>
  <c r="M5" i="8"/>
  <c r="M33" i="6"/>
  <c r="N21" i="8"/>
  <c r="N26" i="10" s="1"/>
  <c r="N31" i="10" s="1"/>
  <c r="O25" i="10" s="1"/>
  <c r="X39" i="10"/>
  <c r="Y33" i="10" s="1"/>
  <c r="N12" i="8" l="1"/>
  <c r="O9" i="8" s="1"/>
  <c r="O17" i="8"/>
  <c r="P14" i="8" s="1"/>
  <c r="O27" i="5"/>
  <c r="P22" i="5"/>
  <c r="P21" i="5"/>
  <c r="Q16" i="5"/>
  <c r="O15" i="5"/>
  <c r="P10" i="5"/>
  <c r="O28" i="10"/>
  <c r="O29" i="10" s="1"/>
  <c r="Y36" i="10"/>
  <c r="Y37" i="10" s="1"/>
  <c r="O14" i="10"/>
  <c r="O15" i="10" s="1"/>
  <c r="N22" i="8"/>
  <c r="O19" i="8" s="1"/>
  <c r="M6" i="8"/>
  <c r="M5" i="10" s="1"/>
  <c r="N29" i="5"/>
  <c r="N9" i="5"/>
  <c r="O4" i="5"/>
  <c r="J19" i="15"/>
  <c r="K5" i="12"/>
  <c r="J5" i="13"/>
  <c r="J7" i="13" s="1"/>
  <c r="J9" i="13" s="1"/>
  <c r="J10" i="13" s="1"/>
  <c r="O5" i="5" l="1"/>
  <c r="T5" i="6"/>
  <c r="N4" i="6"/>
  <c r="N9" i="6" s="1"/>
  <c r="N30" i="5"/>
  <c r="M57" i="15" s="1"/>
  <c r="Z6" i="6"/>
  <c r="N10" i="6"/>
  <c r="N34" i="6" s="1"/>
  <c r="Q17" i="5"/>
  <c r="P23" i="5"/>
  <c r="K21" i="12"/>
  <c r="M10" i="10"/>
  <c r="N4" i="10" s="1"/>
  <c r="P11" i="5"/>
  <c r="O17" i="6"/>
  <c r="O11" i="6"/>
  <c r="O16" i="6" s="1"/>
  <c r="O10" i="8" s="1"/>
  <c r="U12" i="6"/>
  <c r="P24" i="6"/>
  <c r="P18" i="6"/>
  <c r="P23" i="6" s="1"/>
  <c r="P15" i="8" s="1"/>
  <c r="V19" i="6"/>
  <c r="M7" i="8"/>
  <c r="N4" i="8" s="1"/>
  <c r="Y39" i="10"/>
  <c r="Z33" i="10" s="1"/>
  <c r="U26" i="6"/>
  <c r="O25" i="6"/>
  <c r="O30" i="6" s="1"/>
  <c r="O31" i="6"/>
  <c r="O11" i="8" l="1"/>
  <c r="O12" i="10" s="1"/>
  <c r="O17" i="10" s="1"/>
  <c r="P11" i="10" s="1"/>
  <c r="O14" i="12"/>
  <c r="O16" i="12" s="1"/>
  <c r="O20" i="8"/>
  <c r="N7" i="10"/>
  <c r="N8" i="10" s="1"/>
  <c r="L22" i="12" s="1"/>
  <c r="N5" i="8"/>
  <c r="N6" i="8" s="1"/>
  <c r="N33" i="6"/>
  <c r="Z36" i="10"/>
  <c r="Z37" i="10" s="1"/>
  <c r="P24" i="5"/>
  <c r="P25" i="5" s="1"/>
  <c r="P16" i="8"/>
  <c r="P19" i="10" s="1"/>
  <c r="P24" i="10" s="1"/>
  <c r="Q18" i="10" s="1"/>
  <c r="O6" i="5"/>
  <c r="O7" i="5" s="1"/>
  <c r="P12" i="5"/>
  <c r="P13" i="5" s="1"/>
  <c r="K24" i="12"/>
  <c r="K25" i="12" s="1"/>
  <c r="K26" i="12" s="1"/>
  <c r="K27" i="12" s="1"/>
  <c r="Q18" i="5"/>
  <c r="Q19" i="5" s="1"/>
  <c r="K19" i="15" l="1"/>
  <c r="L5" i="12"/>
  <c r="K5" i="13"/>
  <c r="K7" i="13" s="1"/>
  <c r="K9" i="13" s="1"/>
  <c r="K10" i="13" s="1"/>
  <c r="P15" i="5"/>
  <c r="Q10" i="5"/>
  <c r="Q21" i="5"/>
  <c r="R16" i="5"/>
  <c r="N5" i="10"/>
  <c r="N7" i="8"/>
  <c r="O4" i="8" s="1"/>
  <c r="O21" i="8"/>
  <c r="O26" i="10" s="1"/>
  <c r="O31" i="10" s="1"/>
  <c r="P25" i="10" s="1"/>
  <c r="P27" i="5"/>
  <c r="Q22" i="5"/>
  <c r="O29" i="5"/>
  <c r="O9" i="5"/>
  <c r="P4" i="5"/>
  <c r="P14" i="10"/>
  <c r="P15" i="10" s="1"/>
  <c r="Q21" i="10"/>
  <c r="Q22" i="10" s="1"/>
  <c r="P17" i="8"/>
  <c r="Q14" i="8" s="1"/>
  <c r="Z39" i="10"/>
  <c r="AA33" i="10" s="1"/>
  <c r="O12" i="8"/>
  <c r="P9" i="8" s="1"/>
  <c r="L21" i="12" l="1"/>
  <c r="N10" i="10"/>
  <c r="O4" i="10" s="1"/>
  <c r="R17" i="5"/>
  <c r="P28" i="10"/>
  <c r="P29" i="10" s="1"/>
  <c r="P5" i="5"/>
  <c r="Q23" i="5"/>
  <c r="Q11" i="5"/>
  <c r="V26" i="6"/>
  <c r="P25" i="6"/>
  <c r="P30" i="6" s="1"/>
  <c r="P31" i="6"/>
  <c r="O22" i="8"/>
  <c r="P19" i="8" s="1"/>
  <c r="L24" i="12"/>
  <c r="AA36" i="10"/>
  <c r="AA37" i="10" s="1"/>
  <c r="AA39" i="10"/>
  <c r="U5" i="6"/>
  <c r="O4" i="6"/>
  <c r="O9" i="6" s="1"/>
  <c r="O30" i="5"/>
  <c r="N57" i="15" s="1"/>
  <c r="O10" i="6"/>
  <c r="O34" i="6" s="1"/>
  <c r="Q24" i="6"/>
  <c r="Q18" i="6"/>
  <c r="Q23" i="6" s="1"/>
  <c r="Q15" i="8" s="1"/>
  <c r="W19" i="6"/>
  <c r="P17" i="6"/>
  <c r="P11" i="6"/>
  <c r="P16" i="6" s="1"/>
  <c r="P10" i="8" s="1"/>
  <c r="P11" i="8" s="1"/>
  <c r="P12" i="10" s="1"/>
  <c r="P17" i="10" s="1"/>
  <c r="Q11" i="10" s="1"/>
  <c r="V12" i="6"/>
  <c r="Q12" i="5" l="1"/>
  <c r="Q13" i="5" s="1"/>
  <c r="Q24" i="5"/>
  <c r="Q25" i="5" s="1"/>
  <c r="P12" i="8"/>
  <c r="Q9" i="8" s="1"/>
  <c r="Q16" i="8"/>
  <c r="Q19" i="10" s="1"/>
  <c r="Q24" i="10" s="1"/>
  <c r="R18" i="10" s="1"/>
  <c r="P6" i="5"/>
  <c r="P7" i="5" s="1"/>
  <c r="O7" i="10"/>
  <c r="O8" i="10" s="1"/>
  <c r="M22" i="12" s="1"/>
  <c r="Q14" i="10"/>
  <c r="Q15" i="10" s="1"/>
  <c r="R19" i="5"/>
  <c r="R18" i="5"/>
  <c r="O5" i="8"/>
  <c r="O33" i="6"/>
  <c r="P14" i="12"/>
  <c r="P16" i="12" s="1"/>
  <c r="P20" i="8"/>
  <c r="P21" i="8" s="1"/>
  <c r="L25" i="12"/>
  <c r="L26" i="12" s="1"/>
  <c r="L27" i="12" s="1"/>
  <c r="P26" i="10" l="1"/>
  <c r="P31" i="10" s="1"/>
  <c r="Q25" i="10" s="1"/>
  <c r="P22" i="8"/>
  <c r="Q19" i="8" s="1"/>
  <c r="P29" i="5"/>
  <c r="P9" i="5"/>
  <c r="Q4" i="5"/>
  <c r="Q27" i="5"/>
  <c r="R22" i="5"/>
  <c r="Q15" i="5"/>
  <c r="R10" i="5"/>
  <c r="R21" i="10"/>
  <c r="R22" i="10" s="1"/>
  <c r="R21" i="5"/>
  <c r="S16" i="5"/>
  <c r="L19" i="15"/>
  <c r="M5" i="12"/>
  <c r="L5" i="13"/>
  <c r="L7" i="13" s="1"/>
  <c r="L9" i="13" s="1"/>
  <c r="L10" i="13" s="1"/>
  <c r="O6" i="8"/>
  <c r="O5" i="10" s="1"/>
  <c r="Q17" i="8"/>
  <c r="R14" i="8" s="1"/>
  <c r="O7" i="8" l="1"/>
  <c r="P4" i="8" s="1"/>
  <c r="W12" i="6"/>
  <c r="Q17" i="6"/>
  <c r="Q11" i="6"/>
  <c r="Q16" i="6" s="1"/>
  <c r="Q10" i="8" s="1"/>
  <c r="R24" i="6"/>
  <c r="R18" i="6"/>
  <c r="R23" i="6" s="1"/>
  <c r="R15" i="8" s="1"/>
  <c r="R16" i="8" s="1"/>
  <c r="R19" i="10" s="1"/>
  <c r="R24" i="10" s="1"/>
  <c r="S18" i="10" s="1"/>
  <c r="X19" i="6"/>
  <c r="R23" i="5"/>
  <c r="Q25" i="6"/>
  <c r="Q30" i="6" s="1"/>
  <c r="Q31" i="6"/>
  <c r="W26" i="6"/>
  <c r="Q5" i="5"/>
  <c r="M21" i="12"/>
  <c r="M24" i="12" s="1"/>
  <c r="O10" i="10"/>
  <c r="P4" i="10" s="1"/>
  <c r="P10" i="6"/>
  <c r="P34" i="6" s="1"/>
  <c r="V5" i="6"/>
  <c r="P30" i="5"/>
  <c r="O57" i="15" s="1"/>
  <c r="P4" i="6"/>
  <c r="P9" i="6" s="1"/>
  <c r="S17" i="5"/>
  <c r="R11" i="5"/>
  <c r="Q28" i="10"/>
  <c r="Q29" i="10" s="1"/>
  <c r="R17" i="8" l="1"/>
  <c r="S14" i="8" s="1"/>
  <c r="R24" i="5"/>
  <c r="R25" i="5" s="1"/>
  <c r="P33" i="6"/>
  <c r="P5" i="8"/>
  <c r="R12" i="5"/>
  <c r="R13" i="5" s="1"/>
  <c r="S21" i="10"/>
  <c r="S22" i="10" s="1"/>
  <c r="Q11" i="8"/>
  <c r="Q12" i="10" s="1"/>
  <c r="Q17" i="10" s="1"/>
  <c r="R11" i="10" s="1"/>
  <c r="M25" i="12"/>
  <c r="M26" i="12" s="1"/>
  <c r="M27" i="12" s="1"/>
  <c r="Q6" i="5"/>
  <c r="Q7" i="5"/>
  <c r="S18" i="5"/>
  <c r="S19" i="5" s="1"/>
  <c r="P7" i="10"/>
  <c r="P8" i="10" s="1"/>
  <c r="N22" i="12" s="1"/>
  <c r="Q14" i="12"/>
  <c r="Q16" i="12" s="1"/>
  <c r="Q20" i="8"/>
  <c r="R15" i="5" l="1"/>
  <c r="S10" i="5"/>
  <c r="R27" i="5"/>
  <c r="S22" i="5"/>
  <c r="Q29" i="5"/>
  <c r="Q9" i="5"/>
  <c r="R4" i="5"/>
  <c r="Q12" i="8"/>
  <c r="R9" i="8" s="1"/>
  <c r="S21" i="5"/>
  <c r="T16" i="5"/>
  <c r="P6" i="8"/>
  <c r="P5" i="10" s="1"/>
  <c r="M19" i="15"/>
  <c r="M5" i="13"/>
  <c r="M7" i="13" s="1"/>
  <c r="M9" i="13" s="1"/>
  <c r="M10" i="13" s="1"/>
  <c r="N5" i="12"/>
  <c r="Q21" i="8"/>
  <c r="Q26" i="10" s="1"/>
  <c r="Q31" i="10" s="1"/>
  <c r="R25" i="10" s="1"/>
  <c r="R14" i="10"/>
  <c r="R15" i="10" s="1"/>
  <c r="Q22" i="8" l="1"/>
  <c r="R19" i="8" s="1"/>
  <c r="R5" i="5"/>
  <c r="N21" i="12"/>
  <c r="P10" i="10"/>
  <c r="Q4" i="10" s="1"/>
  <c r="P7" i="8"/>
  <c r="Q4" i="8" s="1"/>
  <c r="S23" i="5"/>
  <c r="T17" i="5"/>
  <c r="R31" i="6"/>
  <c r="X26" i="6"/>
  <c r="R25" i="6"/>
  <c r="R30" i="6" s="1"/>
  <c r="N24" i="12"/>
  <c r="Q10" i="6"/>
  <c r="Q34" i="6" s="1"/>
  <c r="W5" i="6"/>
  <c r="Q4" i="6"/>
  <c r="Q9" i="6" s="1"/>
  <c r="Q30" i="5"/>
  <c r="P57" i="15" s="1"/>
  <c r="S24" i="6"/>
  <c r="Y19" i="6"/>
  <c r="S18" i="6"/>
  <c r="S23" i="6" s="1"/>
  <c r="S15" i="8" s="1"/>
  <c r="S11" i="5"/>
  <c r="R28" i="10"/>
  <c r="R29" i="10" s="1"/>
  <c r="X12" i="6"/>
  <c r="R11" i="6"/>
  <c r="R16" i="6" s="1"/>
  <c r="R10" i="8" s="1"/>
  <c r="R11" i="8" s="1"/>
  <c r="R12" i="10" s="1"/>
  <c r="R17" i="10" s="1"/>
  <c r="S11" i="10" s="1"/>
  <c r="R17" i="6"/>
  <c r="S14" i="10" l="1"/>
  <c r="S15" i="10" s="1"/>
  <c r="S16" i="8"/>
  <c r="S19" i="10" s="1"/>
  <c r="S24" i="10" s="1"/>
  <c r="T18" i="10" s="1"/>
  <c r="R12" i="8"/>
  <c r="S9" i="8" s="1"/>
  <c r="R14" i="12"/>
  <c r="R16" i="12" s="1"/>
  <c r="R20" i="8"/>
  <c r="Q7" i="10"/>
  <c r="Q8" i="10" s="1"/>
  <c r="O22" i="12" s="1"/>
  <c r="N25" i="12"/>
  <c r="N26" i="12" s="1"/>
  <c r="N27" i="12" s="1"/>
  <c r="S24" i="5"/>
  <c r="S25" i="5" s="1"/>
  <c r="R6" i="5"/>
  <c r="R7" i="5" s="1"/>
  <c r="S12" i="5"/>
  <c r="S13" i="5"/>
  <c r="Q33" i="6"/>
  <c r="Q5" i="8"/>
  <c r="Q6" i="8" s="1"/>
  <c r="Q5" i="10" s="1"/>
  <c r="T18" i="5"/>
  <c r="T19" i="5" s="1"/>
  <c r="S17" i="8" l="1"/>
  <c r="T14" i="8" s="1"/>
  <c r="O21" i="12"/>
  <c r="Q10" i="10"/>
  <c r="R4" i="10" s="1"/>
  <c r="S27" i="5"/>
  <c r="T22" i="5"/>
  <c r="R29" i="5"/>
  <c r="R9" i="5"/>
  <c r="S4" i="5"/>
  <c r="N19" i="15"/>
  <c r="N5" i="13"/>
  <c r="N7" i="13" s="1"/>
  <c r="N9" i="13" s="1"/>
  <c r="N10" i="13" s="1"/>
  <c r="O5" i="12"/>
  <c r="T21" i="10"/>
  <c r="T22" i="10" s="1"/>
  <c r="S15" i="5"/>
  <c r="T10" i="5"/>
  <c r="R21" i="8"/>
  <c r="R26" i="10" s="1"/>
  <c r="R31" i="10" s="1"/>
  <c r="S25" i="10" s="1"/>
  <c r="T21" i="5"/>
  <c r="U16" i="5"/>
  <c r="Q7" i="8"/>
  <c r="R4" i="8" s="1"/>
  <c r="T11" i="5" l="1"/>
  <c r="U17" i="5"/>
  <c r="R10" i="6"/>
  <c r="R34" i="6" s="1"/>
  <c r="X5" i="6"/>
  <c r="R30" i="5"/>
  <c r="Q57" i="15" s="1"/>
  <c r="R4" i="6"/>
  <c r="R9" i="6" s="1"/>
  <c r="S31" i="6"/>
  <c r="Y26" i="6"/>
  <c r="S25" i="6"/>
  <c r="S30" i="6" s="1"/>
  <c r="S5" i="5"/>
  <c r="Z19" i="6"/>
  <c r="T24" i="6"/>
  <c r="T18" i="6"/>
  <c r="T23" i="6" s="1"/>
  <c r="T15" i="8" s="1"/>
  <c r="R22" i="8"/>
  <c r="S19" i="8" s="1"/>
  <c r="T23" i="5"/>
  <c r="O24" i="12"/>
  <c r="O25" i="12" s="1"/>
  <c r="O26" i="12" s="1"/>
  <c r="O27" i="12" s="1"/>
  <c r="R7" i="10"/>
  <c r="R8" i="10" s="1"/>
  <c r="P22" i="12" s="1"/>
  <c r="Y12" i="6"/>
  <c r="S11" i="6"/>
  <c r="S16" i="6" s="1"/>
  <c r="S10" i="8" s="1"/>
  <c r="S17" i="6"/>
  <c r="S28" i="10"/>
  <c r="S29" i="10" s="1"/>
  <c r="O19" i="15" l="1"/>
  <c r="O5" i="13"/>
  <c r="O7" i="13" s="1"/>
  <c r="O9" i="13" s="1"/>
  <c r="O10" i="13" s="1"/>
  <c r="P5" i="12"/>
  <c r="S6" i="5"/>
  <c r="S7" i="5" s="1"/>
  <c r="T24" i="5"/>
  <c r="T25" i="5"/>
  <c r="S11" i="8"/>
  <c r="S12" i="10" s="1"/>
  <c r="S17" i="10" s="1"/>
  <c r="T11" i="10" s="1"/>
  <c r="S20" i="8"/>
  <c r="S21" i="8" s="1"/>
  <c r="S26" i="10" s="1"/>
  <c r="S31" i="10" s="1"/>
  <c r="T25" i="10" s="1"/>
  <c r="S14" i="12"/>
  <c r="S16" i="12" s="1"/>
  <c r="T12" i="5"/>
  <c r="T13" i="5" s="1"/>
  <c r="R5" i="8"/>
  <c r="R33" i="6"/>
  <c r="U18" i="5"/>
  <c r="U19" i="5" s="1"/>
  <c r="T16" i="8"/>
  <c r="T19" i="10" s="1"/>
  <c r="T24" i="10" s="1"/>
  <c r="U18" i="10" s="1"/>
  <c r="S12" i="8" l="1"/>
  <c r="T9" i="8" s="1"/>
  <c r="T17" i="8"/>
  <c r="U14" i="8" s="1"/>
  <c r="S29" i="5"/>
  <c r="S9" i="5"/>
  <c r="T4" i="5"/>
  <c r="U21" i="5"/>
  <c r="V16" i="5"/>
  <c r="T28" i="10"/>
  <c r="T29" i="10" s="1"/>
  <c r="T15" i="5"/>
  <c r="U10" i="5"/>
  <c r="T27" i="5"/>
  <c r="U22" i="5"/>
  <c r="S22" i="8"/>
  <c r="T19" i="8" s="1"/>
  <c r="U21" i="10"/>
  <c r="U22" i="10" s="1"/>
  <c r="R6" i="8"/>
  <c r="R5" i="10" s="1"/>
  <c r="T14" i="10"/>
  <c r="T15" i="10" s="1"/>
  <c r="V17" i="5" l="1"/>
  <c r="P21" i="12"/>
  <c r="R10" i="10"/>
  <c r="S4" i="10" s="1"/>
  <c r="R7" i="8"/>
  <c r="S4" i="8" s="1"/>
  <c r="T31" i="6"/>
  <c r="T25" i="6"/>
  <c r="T30" i="6" s="1"/>
  <c r="Z26" i="6"/>
  <c r="S10" i="6"/>
  <c r="S34" i="6" s="1"/>
  <c r="S4" i="6"/>
  <c r="S9" i="6" s="1"/>
  <c r="S30" i="5"/>
  <c r="R57" i="15" s="1"/>
  <c r="Y5" i="6"/>
  <c r="T11" i="6"/>
  <c r="T16" i="6" s="1"/>
  <c r="T10" i="8" s="1"/>
  <c r="T17" i="6"/>
  <c r="Z12" i="6"/>
  <c r="U23" i="5"/>
  <c r="U24" i="6"/>
  <c r="U18" i="6"/>
  <c r="U23" i="6" s="1"/>
  <c r="U15" i="8" s="1"/>
  <c r="T5" i="5"/>
  <c r="U11" i="5"/>
  <c r="U12" i="5" l="1"/>
  <c r="U13" i="5"/>
  <c r="U16" i="8"/>
  <c r="U19" i="10" s="1"/>
  <c r="U24" i="10" s="1"/>
  <c r="V18" i="10" s="1"/>
  <c r="S7" i="10"/>
  <c r="S8" i="10" s="1"/>
  <c r="Q22" i="12" s="1"/>
  <c r="T6" i="5"/>
  <c r="T7" i="5" s="1"/>
  <c r="T20" i="8"/>
  <c r="T14" i="12"/>
  <c r="T16" i="12" s="1"/>
  <c r="T11" i="8"/>
  <c r="T12" i="10" s="1"/>
  <c r="T17" i="10" s="1"/>
  <c r="U11" i="10" s="1"/>
  <c r="U24" i="5"/>
  <c r="U25" i="5" s="1"/>
  <c r="P24" i="12"/>
  <c r="P25" i="12" s="1"/>
  <c r="P26" i="12" s="1"/>
  <c r="P27" i="12" s="1"/>
  <c r="S5" i="8"/>
  <c r="S33" i="6"/>
  <c r="V18" i="5"/>
  <c r="V19" i="5" s="1"/>
  <c r="S6" i="8" l="1"/>
  <c r="S5" i="10" s="1"/>
  <c r="Q21" i="12" s="1"/>
  <c r="U17" i="8"/>
  <c r="V14" i="8" s="1"/>
  <c r="T29" i="5"/>
  <c r="T9" i="5"/>
  <c r="U4" i="5"/>
  <c r="V4" i="5" s="1"/>
  <c r="W4" i="5" s="1"/>
  <c r="X4" i="5" s="1"/>
  <c r="Y4" i="5" s="1"/>
  <c r="Z4" i="5" s="1"/>
  <c r="V21" i="5"/>
  <c r="W16" i="5"/>
  <c r="P19" i="15"/>
  <c r="P5" i="13"/>
  <c r="P7" i="13" s="1"/>
  <c r="P9" i="13" s="1"/>
  <c r="P10" i="13" s="1"/>
  <c r="Q5" i="12"/>
  <c r="U27" i="5"/>
  <c r="V22" i="5"/>
  <c r="U14" i="10"/>
  <c r="U15" i="10" s="1"/>
  <c r="V21" i="10"/>
  <c r="V22" i="10" s="1"/>
  <c r="T21" i="8"/>
  <c r="T26" i="10" s="1"/>
  <c r="T31" i="10" s="1"/>
  <c r="U25" i="10" s="1"/>
  <c r="U15" i="5"/>
  <c r="U29" i="5"/>
  <c r="V10" i="5"/>
  <c r="T12" i="8"/>
  <c r="U9" i="8" s="1"/>
  <c r="S10" i="10" l="1"/>
  <c r="T4" i="10" s="1"/>
  <c r="S7" i="8"/>
  <c r="T4" i="8" s="1"/>
  <c r="T7" i="10"/>
  <c r="T8" i="10" s="1"/>
  <c r="R22" i="12" s="1"/>
  <c r="W17" i="5"/>
  <c r="U28" i="10"/>
  <c r="U29" i="10" s="1"/>
  <c r="Q24" i="12"/>
  <c r="Q25" i="12" s="1"/>
  <c r="Q26" i="12" s="1"/>
  <c r="Q27" i="12" s="1"/>
  <c r="T10" i="6"/>
  <c r="T34" i="6" s="1"/>
  <c r="T4" i="6"/>
  <c r="T30" i="5"/>
  <c r="S57" i="15" s="1"/>
  <c r="Z5" i="6"/>
  <c r="T8" i="6"/>
  <c r="U8" i="6" s="1"/>
  <c r="U11" i="6"/>
  <c r="U16" i="6" s="1"/>
  <c r="U10" i="8" s="1"/>
  <c r="U17" i="6"/>
  <c r="U30" i="5"/>
  <c r="T57" i="15" s="1"/>
  <c r="V18" i="6"/>
  <c r="V23" i="6" s="1"/>
  <c r="V15" i="8" s="1"/>
  <c r="V24" i="6"/>
  <c r="V23" i="5"/>
  <c r="T22" i="8"/>
  <c r="U19" i="8" s="1"/>
  <c r="U31" i="6"/>
  <c r="U25" i="6"/>
  <c r="U30" i="6" s="1"/>
  <c r="V11" i="5"/>
  <c r="Q19" i="15" l="1"/>
  <c r="Q5" i="13"/>
  <c r="Q7" i="13" s="1"/>
  <c r="Q9" i="13" s="1"/>
  <c r="Q10" i="13" s="1"/>
  <c r="R5" i="12"/>
  <c r="U9" i="6"/>
  <c r="V8" i="6"/>
  <c r="V9" i="6" s="1"/>
  <c r="U14" i="12"/>
  <c r="U16" i="12" s="1"/>
  <c r="U20" i="8"/>
  <c r="U21" i="8" s="1"/>
  <c r="U26" i="10" s="1"/>
  <c r="U31" i="10" s="1"/>
  <c r="V25" i="10" s="1"/>
  <c r="U34" i="6"/>
  <c r="W18" i="5"/>
  <c r="W19" i="5" s="1"/>
  <c r="U11" i="8"/>
  <c r="U12" i="10" s="1"/>
  <c r="U17" i="10" s="1"/>
  <c r="V11" i="10" s="1"/>
  <c r="V24" i="5"/>
  <c r="V25" i="5" s="1"/>
  <c r="T9" i="6"/>
  <c r="V16" i="8"/>
  <c r="V19" i="10" s="1"/>
  <c r="V24" i="10" s="1"/>
  <c r="W18" i="10" s="1"/>
  <c r="V12" i="5"/>
  <c r="V13" i="5" s="1"/>
  <c r="V17" i="8" l="1"/>
  <c r="W14" i="8" s="1"/>
  <c r="U22" i="8"/>
  <c r="V19" i="8" s="1"/>
  <c r="V27" i="5"/>
  <c r="W22" i="5"/>
  <c r="W21" i="5"/>
  <c r="X16" i="5"/>
  <c r="V15" i="5"/>
  <c r="V29" i="5"/>
  <c r="W10" i="5"/>
  <c r="V14" i="10"/>
  <c r="V15" i="10" s="1"/>
  <c r="V5" i="8"/>
  <c r="W21" i="10"/>
  <c r="W22" i="10" s="1"/>
  <c r="T5" i="8"/>
  <c r="T33" i="6"/>
  <c r="U5" i="8"/>
  <c r="U33" i="6"/>
  <c r="W8" i="6"/>
  <c r="W9" i="6" s="1"/>
  <c r="V28" i="10"/>
  <c r="V29" i="10" s="1"/>
  <c r="U12" i="8"/>
  <c r="V9" i="8" s="1"/>
  <c r="X8" i="6"/>
  <c r="X9" i="6" s="1"/>
  <c r="Y8" i="6" l="1"/>
  <c r="Y9" i="6" s="1"/>
  <c r="Y5" i="8" s="1"/>
  <c r="X5" i="8"/>
  <c r="W11" i="5"/>
  <c r="V17" i="6"/>
  <c r="V11" i="6"/>
  <c r="V16" i="6" s="1"/>
  <c r="V30" i="5"/>
  <c r="U57" i="15" s="1"/>
  <c r="Z8" i="6"/>
  <c r="Z9" i="6" s="1"/>
  <c r="X17" i="5"/>
  <c r="T6" i="8"/>
  <c r="T5" i="10" s="1"/>
  <c r="W5" i="8"/>
  <c r="W18" i="6"/>
  <c r="W23" i="6" s="1"/>
  <c r="W15" i="8" s="1"/>
  <c r="W24" i="6"/>
  <c r="W23" i="5"/>
  <c r="V31" i="6"/>
  <c r="V25" i="6"/>
  <c r="V30" i="6" s="1"/>
  <c r="Z5" i="8" l="1"/>
  <c r="W12" i="5"/>
  <c r="W13" i="5" s="1"/>
  <c r="V14" i="12"/>
  <c r="V16" i="12" s="1"/>
  <c r="V20" i="8"/>
  <c r="V34" i="6"/>
  <c r="R21" i="12"/>
  <c r="T10" i="10"/>
  <c r="U4" i="10" s="1"/>
  <c r="W16" i="8"/>
  <c r="W19" i="10" s="1"/>
  <c r="W24" i="10" s="1"/>
  <c r="X18" i="10" s="1"/>
  <c r="T7" i="8"/>
  <c r="U4" i="8" s="1"/>
  <c r="W24" i="5"/>
  <c r="W25" i="5" s="1"/>
  <c r="V10" i="8"/>
  <c r="V33" i="6"/>
  <c r="X18" i="5"/>
  <c r="X19" i="5"/>
  <c r="W27" i="5" l="1"/>
  <c r="X22" i="5"/>
  <c r="W15" i="5"/>
  <c r="W29" i="5"/>
  <c r="X10" i="5"/>
  <c r="Y10" i="5" s="1"/>
  <c r="Z10" i="5" s="1"/>
  <c r="X21" i="10"/>
  <c r="X22" i="10" s="1"/>
  <c r="R24" i="12"/>
  <c r="R25" i="12" s="1"/>
  <c r="R26" i="12" s="1"/>
  <c r="R27" i="12" s="1"/>
  <c r="V11" i="8"/>
  <c r="V12" i="10" s="1"/>
  <c r="V17" i="10" s="1"/>
  <c r="W11" i="10" s="1"/>
  <c r="V21" i="8"/>
  <c r="V26" i="10" s="1"/>
  <c r="V31" i="10" s="1"/>
  <c r="W25" i="10" s="1"/>
  <c r="X21" i="5"/>
  <c r="Y16" i="5"/>
  <c r="W17" i="8"/>
  <c r="X14" i="8" s="1"/>
  <c r="U6" i="8"/>
  <c r="U5" i="10" s="1"/>
  <c r="S21" i="12" s="1"/>
  <c r="U7" i="10"/>
  <c r="U8" i="10" s="1"/>
  <c r="S22" i="12" s="1"/>
  <c r="V12" i="8" l="1"/>
  <c r="W9" i="8" s="1"/>
  <c r="V22" i="8"/>
  <c r="W19" i="8" s="1"/>
  <c r="U10" i="10"/>
  <c r="V4" i="10" s="1"/>
  <c r="V7" i="10" s="1"/>
  <c r="V8" i="10" s="1"/>
  <c r="T22" i="12" s="1"/>
  <c r="R19" i="15"/>
  <c r="R5" i="13"/>
  <c r="R7" i="13" s="1"/>
  <c r="R9" i="13" s="1"/>
  <c r="R10" i="13" s="1"/>
  <c r="S5" i="12"/>
  <c r="X18" i="6"/>
  <c r="X23" i="6" s="1"/>
  <c r="X15" i="8" s="1"/>
  <c r="X24" i="6"/>
  <c r="W28" i="10"/>
  <c r="W29" i="10" s="1"/>
  <c r="W17" i="6"/>
  <c r="W11" i="6"/>
  <c r="W30" i="5"/>
  <c r="V57" i="15" s="1"/>
  <c r="W15" i="6"/>
  <c r="X15" i="6"/>
  <c r="X16" i="6" s="1"/>
  <c r="U7" i="8"/>
  <c r="V4" i="8" s="1"/>
  <c r="X16" i="8"/>
  <c r="X19" i="10" s="1"/>
  <c r="X24" i="10" s="1"/>
  <c r="Y18" i="10" s="1"/>
  <c r="X23" i="5"/>
  <c r="W14" i="10"/>
  <c r="W15" i="10" s="1"/>
  <c r="Y17" i="5"/>
  <c r="W31" i="6"/>
  <c r="W25" i="6"/>
  <c r="W30" i="6" s="1"/>
  <c r="X24" i="5" l="1"/>
  <c r="X25" i="5" s="1"/>
  <c r="Y18" i="5"/>
  <c r="Y19" i="5" s="1"/>
  <c r="Y15" i="6"/>
  <c r="Y16" i="6" s="1"/>
  <c r="X17" i="8"/>
  <c r="Y14" i="8" s="1"/>
  <c r="S24" i="12"/>
  <c r="S25" i="12" s="1"/>
  <c r="S26" i="12" s="1"/>
  <c r="S27" i="12" s="1"/>
  <c r="X10" i="8"/>
  <c r="W20" i="8"/>
  <c r="W14" i="12"/>
  <c r="W16" i="12" s="1"/>
  <c r="W16" i="6"/>
  <c r="Y21" i="10"/>
  <c r="Y22" i="10" s="1"/>
  <c r="V6" i="8"/>
  <c r="V5" i="10" s="1"/>
  <c r="W34" i="6"/>
  <c r="S19" i="15" l="1"/>
  <c r="T5" i="12"/>
  <c r="S5" i="13"/>
  <c r="S7" i="13" s="1"/>
  <c r="S9" i="13" s="1"/>
  <c r="S10" i="13" s="1"/>
  <c r="Y21" i="5"/>
  <c r="Z16" i="5"/>
  <c r="Z17" i="5" s="1"/>
  <c r="X27" i="5"/>
  <c r="X29" i="5"/>
  <c r="Y22" i="5"/>
  <c r="Y10" i="8"/>
  <c r="V7" i="8"/>
  <c r="W4" i="8" s="1"/>
  <c r="W10" i="8"/>
  <c r="W33" i="6"/>
  <c r="T21" i="12"/>
  <c r="V9" i="10"/>
  <c r="T23" i="12" s="1"/>
  <c r="W21" i="8"/>
  <c r="W26" i="10" s="1"/>
  <c r="W31" i="10" s="1"/>
  <c r="X25" i="10" s="1"/>
  <c r="W22" i="8"/>
  <c r="X19" i="8" s="1"/>
  <c r="Z15" i="6"/>
  <c r="Z16" i="6" s="1"/>
  <c r="Z10" i="8" l="1"/>
  <c r="X31" i="6"/>
  <c r="X34" i="6" s="1"/>
  <c r="X25" i="6"/>
  <c r="X30" i="6" s="1"/>
  <c r="X30" i="5"/>
  <c r="W57" i="15" s="1"/>
  <c r="X28" i="10"/>
  <c r="X29" i="10" s="1"/>
  <c r="W6" i="8"/>
  <c r="W5" i="10" s="1"/>
  <c r="W7" i="8"/>
  <c r="X4" i="8" s="1"/>
  <c r="Y18" i="6"/>
  <c r="Y23" i="6" s="1"/>
  <c r="Y24" i="6"/>
  <c r="T24" i="12"/>
  <c r="T25" i="12" s="1"/>
  <c r="T26" i="12" s="1"/>
  <c r="T27" i="12" s="1"/>
  <c r="Z18" i="5"/>
  <c r="Z19" i="5"/>
  <c r="W11" i="8"/>
  <c r="W12" i="10" s="1"/>
  <c r="W17" i="10" s="1"/>
  <c r="X11" i="10" s="1"/>
  <c r="V10" i="10"/>
  <c r="W4" i="10" s="1"/>
  <c r="Y23" i="5"/>
  <c r="T19" i="15" l="1"/>
  <c r="U5" i="12"/>
  <c r="T5" i="13"/>
  <c r="T7" i="13" s="1"/>
  <c r="T9" i="13" s="1"/>
  <c r="T10" i="13" s="1"/>
  <c r="Y24" i="5"/>
  <c r="Y25" i="5"/>
  <c r="W7" i="10"/>
  <c r="W8" i="10" s="1"/>
  <c r="U22" i="12" s="1"/>
  <c r="W9" i="10"/>
  <c r="U23" i="12" s="1"/>
  <c r="W12" i="8"/>
  <c r="X9" i="8" s="1"/>
  <c r="Y15" i="8"/>
  <c r="X20" i="8"/>
  <c r="X14" i="12"/>
  <c r="X16" i="12" s="1"/>
  <c r="X33" i="6"/>
  <c r="X6" i="8"/>
  <c r="X5" i="10" s="1"/>
  <c r="X14" i="10"/>
  <c r="X15" i="10" s="1"/>
  <c r="Z21" i="5"/>
  <c r="Z29" i="5"/>
  <c r="U21" i="12"/>
  <c r="W10" i="10" l="1"/>
  <c r="X4" i="10" s="1"/>
  <c r="X21" i="8"/>
  <c r="X26" i="10" s="1"/>
  <c r="X31" i="10" s="1"/>
  <c r="Y25" i="10" s="1"/>
  <c r="X22" i="8"/>
  <c r="Y19" i="8" s="1"/>
  <c r="Y16" i="8"/>
  <c r="Y19" i="10" s="1"/>
  <c r="Y24" i="10" s="1"/>
  <c r="Z18" i="10" s="1"/>
  <c r="Y27" i="5"/>
  <c r="Y29" i="5"/>
  <c r="A7" i="15" s="1"/>
  <c r="Z22" i="5"/>
  <c r="Z24" i="6"/>
  <c r="Z34" i="6" s="1"/>
  <c r="Z18" i="6"/>
  <c r="Z30" i="5"/>
  <c r="Y57" i="15" s="1"/>
  <c r="Z22" i="6"/>
  <c r="U24" i="12"/>
  <c r="U25" i="12" s="1"/>
  <c r="U26" i="12" s="1"/>
  <c r="U27" i="12" s="1"/>
  <c r="X11" i="8"/>
  <c r="X12" i="10" s="1"/>
  <c r="X17" i="10" s="1"/>
  <c r="Y11" i="10" s="1"/>
  <c r="X7" i="8"/>
  <c r="Y4" i="8" s="1"/>
  <c r="V21" i="12" l="1"/>
  <c r="Y17" i="8"/>
  <c r="Z14" i="8" s="1"/>
  <c r="X12" i="8"/>
  <c r="Y9" i="8" s="1"/>
  <c r="U19" i="15"/>
  <c r="U5" i="13"/>
  <c r="U7" i="13" s="1"/>
  <c r="U9" i="13" s="1"/>
  <c r="U10" i="13" s="1"/>
  <c r="V5" i="12"/>
  <c r="Y25" i="6"/>
  <c r="Y31" i="6"/>
  <c r="Y34" i="6" s="1"/>
  <c r="Y29" i="6"/>
  <c r="Z29" i="6"/>
  <c r="Z30" i="6" s="1"/>
  <c r="Z20" i="8" s="1"/>
  <c r="Y30" i="5"/>
  <c r="Z21" i="10"/>
  <c r="Z22" i="10" s="1"/>
  <c r="Z23" i="6"/>
  <c r="Y11" i="8"/>
  <c r="Y12" i="10" s="1"/>
  <c r="Y6" i="8"/>
  <c r="Y5" i="10" s="1"/>
  <c r="Y14" i="10"/>
  <c r="Y15" i="10" s="1"/>
  <c r="Y28" i="10"/>
  <c r="Y29" i="10" s="1"/>
  <c r="X7" i="10"/>
  <c r="X8" i="10" s="1"/>
  <c r="V22" i="12" s="1"/>
  <c r="X9" i="10"/>
  <c r="V23" i="12" s="1"/>
  <c r="Z15" i="8" l="1"/>
  <c r="Z33" i="6"/>
  <c r="Y30" i="6"/>
  <c r="X10" i="10"/>
  <c r="Y4" i="10" s="1"/>
  <c r="V24" i="12"/>
  <c r="V25" i="12" s="1"/>
  <c r="V26" i="12" s="1"/>
  <c r="V27" i="12" s="1"/>
  <c r="Y16" i="10"/>
  <c r="Y17" i="10" s="1"/>
  <c r="Z11" i="10" s="1"/>
  <c r="Y7" i="12"/>
  <c r="A10" i="15"/>
  <c r="Y7" i="8"/>
  <c r="Z4" i="8" s="1"/>
  <c r="X57" i="15"/>
  <c r="E7" i="15"/>
  <c r="Y12" i="8"/>
  <c r="Z9" i="8" s="1"/>
  <c r="V19" i="15" l="1"/>
  <c r="V5" i="13"/>
  <c r="V7" i="13" s="1"/>
  <c r="V9" i="13" s="1"/>
  <c r="V10" i="13" s="1"/>
  <c r="W5" i="12"/>
  <c r="Y7" i="10"/>
  <c r="Y8" i="10" s="1"/>
  <c r="W22" i="12" s="1"/>
  <c r="Y9" i="10"/>
  <c r="W23" i="12" s="1"/>
  <c r="Z11" i="8"/>
  <c r="Z12" i="10" s="1"/>
  <c r="Y14" i="12"/>
  <c r="Y20" i="8"/>
  <c r="Y33" i="6"/>
  <c r="Y20" i="15"/>
  <c r="Y11" i="12"/>
  <c r="Z6" i="8"/>
  <c r="Z5" i="10" s="1"/>
  <c r="Z16" i="8"/>
  <c r="Z19" i="10" s="1"/>
  <c r="Z24" i="10" s="1"/>
  <c r="AA18" i="10" s="1"/>
  <c r="Z14" i="10"/>
  <c r="Z15" i="10" s="1"/>
  <c r="Z17" i="8" l="1"/>
  <c r="AA14" i="8" s="1"/>
  <c r="Z7" i="8"/>
  <c r="AA4" i="8" s="1"/>
  <c r="AA6" i="8" s="1"/>
  <c r="AA5" i="10" s="1"/>
  <c r="Y16" i="12"/>
  <c r="Z12" i="8"/>
  <c r="AA9" i="8" s="1"/>
  <c r="Y10" i="10"/>
  <c r="Z4" i="10" s="1"/>
  <c r="Y21" i="8"/>
  <c r="Y26" i="10" s="1"/>
  <c r="AA16" i="8"/>
  <c r="AA19" i="10" s="1"/>
  <c r="AA24" i="10" s="1"/>
  <c r="Z16" i="10"/>
  <c r="Z17" i="10" s="1"/>
  <c r="AA11" i="10" s="1"/>
  <c r="AA21" i="10"/>
  <c r="AA22" i="10" s="1"/>
  <c r="Y22" i="8" l="1"/>
  <c r="Z19" i="8" s="1"/>
  <c r="AA14" i="10"/>
  <c r="AA15" i="10" s="1"/>
  <c r="Z21" i="8"/>
  <c r="Z26" i="10" s="1"/>
  <c r="X21" i="12" s="1"/>
  <c r="Z7" i="10"/>
  <c r="Z8" i="10" s="1"/>
  <c r="Z9" i="10"/>
  <c r="X23" i="12" s="1"/>
  <c r="AA11" i="8"/>
  <c r="AA12" i="10" s="1"/>
  <c r="AA17" i="8"/>
  <c r="AA7" i="8"/>
  <c r="Y31" i="10"/>
  <c r="Z25" i="10" s="1"/>
  <c r="W21" i="12"/>
  <c r="W24" i="12" l="1"/>
  <c r="W25" i="12" s="1"/>
  <c r="W26" i="12" s="1"/>
  <c r="W27" i="12" s="1"/>
  <c r="Z10" i="10"/>
  <c r="AA4" i="10" s="1"/>
  <c r="Z28" i="10"/>
  <c r="Z29" i="10" s="1"/>
  <c r="X22" i="12" s="1"/>
  <c r="Z22" i="8"/>
  <c r="AA19" i="8" s="1"/>
  <c r="AA16" i="10"/>
  <c r="AA17" i="10" s="1"/>
  <c r="AA12" i="8"/>
  <c r="Z31" i="10" l="1"/>
  <c r="AA25" i="10" s="1"/>
  <c r="W19" i="15"/>
  <c r="X5" i="12"/>
  <c r="W5" i="13"/>
  <c r="W7" i="13" s="1"/>
  <c r="W9" i="13" s="1"/>
  <c r="W10" i="13" s="1"/>
  <c r="AA21" i="8"/>
  <c r="AA26" i="10" s="1"/>
  <c r="Y21" i="12" s="1"/>
  <c r="AA28" i="10"/>
  <c r="AA29" i="10" s="1"/>
  <c r="AA7" i="10"/>
  <c r="AA8" i="10" s="1"/>
  <c r="AA9" i="10"/>
  <c r="A13" i="15" l="1"/>
  <c r="AA22" i="8"/>
  <c r="Y22" i="12"/>
  <c r="X24" i="12"/>
  <c r="X25" i="12" s="1"/>
  <c r="X26" i="12" s="1"/>
  <c r="X27" i="12" s="1"/>
  <c r="AA10" i="10"/>
  <c r="AA30" i="10"/>
  <c r="Y23" i="12" s="1"/>
  <c r="X19" i="15" l="1"/>
  <c r="Y5" i="12"/>
  <c r="X5" i="13"/>
  <c r="X7" i="13" s="1"/>
  <c r="X9" i="13" s="1"/>
  <c r="X10" i="13" s="1"/>
  <c r="AA31" i="10"/>
  <c r="Y24" i="12" l="1"/>
  <c r="E13" i="15" l="1"/>
  <c r="Y25" i="12"/>
  <c r="Y26" i="12" s="1"/>
  <c r="Y27" i="12" s="1"/>
  <c r="Y19" i="15" l="1"/>
  <c r="F8" i="14"/>
  <c r="C7" i="14"/>
  <c r="E5" i="14"/>
  <c r="A4" i="15"/>
  <c r="E8" i="14"/>
  <c r="G6" i="14"/>
  <c r="D5" i="14"/>
  <c r="C9" i="14"/>
  <c r="F6" i="14"/>
  <c r="G8" i="14"/>
  <c r="E6" i="14"/>
  <c r="D8" i="14"/>
  <c r="D6" i="14"/>
  <c r="E9" i="14"/>
  <c r="G5" i="14"/>
  <c r="D9" i="14"/>
  <c r="F5" i="14"/>
  <c r="C8" i="14"/>
  <c r="C5" i="14"/>
  <c r="D7" i="14"/>
  <c r="C6" i="14"/>
  <c r="G9" i="14"/>
  <c r="F9" i="14"/>
  <c r="G7" i="14"/>
  <c r="F7" i="14"/>
  <c r="Y5" i="13"/>
  <c r="Y7" i="13" s="1"/>
  <c r="Y9" i="13" s="1"/>
  <c r="E7" i="14"/>
  <c r="Y10" i="13" l="1"/>
  <c r="B12" i="13"/>
  <c r="B13" i="13" s="1"/>
  <c r="E4" i="15" l="1"/>
  <c r="D16" i="14"/>
  <c r="D14" i="14"/>
  <c r="C16" i="14"/>
  <c r="C14" i="14"/>
  <c r="F17" i="14"/>
  <c r="D15" i="14"/>
  <c r="E17" i="14"/>
  <c r="C15" i="14"/>
  <c r="D17" i="14"/>
  <c r="F14" i="14"/>
  <c r="C17" i="14"/>
  <c r="F16" i="14"/>
  <c r="E16" i="14"/>
  <c r="F15" i="14"/>
  <c r="E15" i="14"/>
  <c r="E1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8" authorId="0" shapeId="0" xr:uid="{00000000-0006-0000-0100-00000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8" authorId="0" shapeId="0" xr:uid="{00000000-0006-0000-0100-00000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8" authorId="0" shapeId="0" xr:uid="{00000000-0006-0000-0100-00000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9" authorId="0" shapeId="0" xr:uid="{00000000-0006-0000-0100-00000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9" authorId="0" shapeId="0" xr:uid="{00000000-0006-0000-0100-00000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9" authorId="0" shapeId="0" xr:uid="{00000000-0006-0000-0100-00001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0" authorId="0" shapeId="0" xr:uid="{00000000-0006-0000-0100-00000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0" authorId="0" shapeId="0" xr:uid="{00000000-0006-0000-0100-00000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0" authorId="0" shapeId="0" xr:uid="{00000000-0006-0000-0100-00001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1" authorId="0" shapeId="0" xr:uid="{00000000-0006-0000-0100-00000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1" authorId="0" shapeId="0" xr:uid="{00000000-0006-0000-0100-00000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1" authorId="0" shapeId="0" xr:uid="{00000000-0006-0000-0100-00001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2" authorId="0" shapeId="0" xr:uid="{00000000-0006-0000-0100-00000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2" authorId="0" shapeId="0" xr:uid="{00000000-0006-0000-0100-00000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2" authorId="0" shapeId="0" xr:uid="{00000000-0006-0000-0100-00001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3" authorId="0" shapeId="0" xr:uid="{00000000-0006-0000-0100-00000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3" authorId="0" shapeId="0" xr:uid="{00000000-0006-0000-0100-00000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3" authorId="0" shapeId="0" xr:uid="{00000000-0006-0000-0100-00001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4" authorId="0" shapeId="0" xr:uid="{00000000-0006-0000-0100-00000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4" authorId="0" shapeId="0" xr:uid="{00000000-0006-0000-0100-00000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4" authorId="0" shapeId="0" xr:uid="{00000000-0006-0000-0100-00001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5" authorId="0" shapeId="0" xr:uid="{00000000-0006-0000-0200-00001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5" authorId="0" shapeId="0" xr:uid="{00000000-0006-0000-0200-00002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6" authorId="0" shapeId="0" xr:uid="{00000000-0006-0000-0200-00000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6" authorId="0" shapeId="0" xr:uid="{00000000-0006-0000-0200-00001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6" authorId="0" shapeId="0" xr:uid="{00000000-0006-0000-0200-00003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7" authorId="0" shapeId="0" xr:uid="{00000000-0006-0000-0200-00000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7" authorId="0" shapeId="0" xr:uid="{00000000-0006-0000-0200-00001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7" authorId="0" shapeId="0" xr:uid="{00000000-0006-0000-0200-00003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8" authorId="0" shapeId="0" xr:uid="{00000000-0006-0000-0200-00000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8" authorId="0" shapeId="0" xr:uid="{00000000-0006-0000-0200-00001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8" authorId="0" shapeId="0" xr:uid="{00000000-0006-0000-0200-00003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9" authorId="0" shapeId="0" xr:uid="{00000000-0006-0000-0200-00000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9" authorId="0" shapeId="0" xr:uid="{00000000-0006-0000-0200-00001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9" authorId="0" shapeId="0" xr:uid="{00000000-0006-0000-0200-00003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0" authorId="0" shapeId="0" xr:uid="{00000000-0006-0000-0200-00000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0" authorId="0" shapeId="0" xr:uid="{00000000-0006-0000-0200-00001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0" authorId="0" shapeId="0" xr:uid="{00000000-0006-0000-0200-00003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4" authorId="0" shapeId="0" xr:uid="{00000000-0006-0000-0200-00000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4" authorId="0" shapeId="0" xr:uid="{00000000-0006-0000-0200-00001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4" authorId="0" shapeId="0" xr:uid="{00000000-0006-0000-0200-00003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5" authorId="0" shapeId="0" xr:uid="{00000000-0006-0000-0200-00000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5" authorId="0" shapeId="0" xr:uid="{00000000-0006-0000-0200-00001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5" authorId="0" shapeId="0" xr:uid="{00000000-0006-0000-0200-00003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6" authorId="0" shapeId="0" xr:uid="{00000000-0006-0000-0200-00000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6" authorId="0" shapeId="0" xr:uid="{00000000-0006-0000-0200-00002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6" authorId="0" shapeId="0" xr:uid="{00000000-0006-0000-0200-00003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7" authorId="0" shapeId="0" xr:uid="{00000000-0006-0000-0200-00000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7" authorId="0" shapeId="0" xr:uid="{00000000-0006-0000-0200-00002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7" authorId="0" shapeId="0" xr:uid="{00000000-0006-0000-0200-00003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8" authorId="0" shapeId="0" xr:uid="{00000000-0006-0000-0200-00000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8" authorId="0" shapeId="0" xr:uid="{00000000-0006-0000-0200-00002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8" authorId="0" shapeId="0" xr:uid="{00000000-0006-0000-0200-00003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19" authorId="0" shapeId="0" xr:uid="{00000000-0006-0000-0200-00000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19" authorId="0" shapeId="0" xr:uid="{00000000-0006-0000-0200-00002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19" authorId="0" shapeId="0" xr:uid="{00000000-0006-0000-0200-00003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0" authorId="0" shapeId="0" xr:uid="{00000000-0006-0000-0200-00000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0" authorId="0" shapeId="0" xr:uid="{00000000-0006-0000-0200-00002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0" authorId="0" shapeId="0" xr:uid="{00000000-0006-0000-0200-00003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1" authorId="0" shapeId="0" xr:uid="{00000000-0006-0000-0200-00000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1" authorId="0" shapeId="0" xr:uid="{00000000-0006-0000-0200-00002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1" authorId="0" shapeId="0" xr:uid="{00000000-0006-0000-0200-00003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5" authorId="0" shapeId="0" xr:uid="{00000000-0006-0000-0200-00000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5" authorId="0" shapeId="0" xr:uid="{00000000-0006-0000-0200-00002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5" authorId="0" shapeId="0" xr:uid="{00000000-0006-0000-0200-00003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6" authorId="0" shapeId="0" xr:uid="{00000000-0006-0000-0200-00001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6" authorId="0" shapeId="0" xr:uid="{00000000-0006-0000-0200-00002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6" authorId="0" shapeId="0" xr:uid="{00000000-0006-0000-0200-00003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7" authorId="0" shapeId="0" xr:uid="{00000000-0006-0000-0200-00001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7" authorId="0" shapeId="0" xr:uid="{00000000-0006-0000-0200-00002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7" authorId="0" shapeId="0" xr:uid="{00000000-0006-0000-0200-00003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8" authorId="0" shapeId="0" xr:uid="{00000000-0006-0000-0200-00001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8" authorId="0" shapeId="0" xr:uid="{00000000-0006-0000-0200-00002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8" authorId="0" shapeId="0" xr:uid="{00000000-0006-0000-0200-00004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29" authorId="0" shapeId="0" xr:uid="{00000000-0006-0000-0200-00001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29" authorId="0" shapeId="0" xr:uid="{00000000-0006-0000-0200-00002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29" authorId="0" shapeId="0" xr:uid="{00000000-0006-0000-0200-00004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30" authorId="0" shapeId="0" xr:uid="{00000000-0006-0000-0200-00001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30" authorId="0" shapeId="0" xr:uid="{00000000-0006-0000-0200-00002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30" authorId="0" shapeId="0" xr:uid="{00000000-0006-0000-0200-00004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31" authorId="0" shapeId="0" xr:uid="{00000000-0006-0000-0200-00001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31" authorId="0" shapeId="0" xr:uid="{00000000-0006-0000-0200-00002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31" authorId="0" shapeId="0" xr:uid="{00000000-0006-0000-0200-00004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32" authorId="0" shapeId="0" xr:uid="{00000000-0006-0000-0200-00001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32" authorId="0" shapeId="0" xr:uid="{00000000-0006-0000-0200-00002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32" authorId="0" shapeId="0" xr:uid="{00000000-0006-0000-0200-00004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33" authorId="0" shapeId="0" xr:uid="{00000000-0006-0000-0200-00001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33" authorId="0" shapeId="0" xr:uid="{00000000-0006-0000-0200-00002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33" authorId="0" shapeId="0" xr:uid="{00000000-0006-0000-0200-00004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300-000001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B4" authorId="0" shapeId="0" xr:uid="{00000000-0006-0000-0300-000005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C4" authorId="0" shapeId="0" xr:uid="{00000000-0006-0000-0300-000009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D4" authorId="0" shapeId="0" xr:uid="{00000000-0006-0000-0300-00000D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E4" authorId="0" shapeId="0" xr:uid="{00000000-0006-0000-0300-000011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F4" authorId="0" shapeId="0" xr:uid="{00000000-0006-0000-0300-000015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G4" authorId="0" shapeId="0" xr:uid="{00000000-0006-0000-0300-000019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H4" authorId="0" shapeId="0" xr:uid="{00000000-0006-0000-0300-00001D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I4" authorId="0" shapeId="0" xr:uid="{00000000-0006-0000-0300-000021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J4" authorId="0" shapeId="0" xr:uid="{00000000-0006-0000-0300-000025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K4" authorId="0" shapeId="0" xr:uid="{00000000-0006-0000-0300-000029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L4" authorId="0" shapeId="0" xr:uid="{00000000-0006-0000-0300-00002D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A5" authorId="0" shapeId="0" xr:uid="{00000000-0006-0000-0300-000002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B5" authorId="0" shapeId="0" xr:uid="{00000000-0006-0000-0300-000006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C5" authorId="0" shapeId="0" xr:uid="{00000000-0006-0000-0300-00000A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D5" authorId="0" shapeId="0" xr:uid="{00000000-0006-0000-0300-00000E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E5" authorId="0" shapeId="0" xr:uid="{00000000-0006-0000-0300-000012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F5" authorId="0" shapeId="0" xr:uid="{00000000-0006-0000-0300-000016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G5" authorId="0" shapeId="0" xr:uid="{00000000-0006-0000-0300-00001A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H5" authorId="0" shapeId="0" xr:uid="{00000000-0006-0000-0300-00001E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I5" authorId="0" shapeId="0" xr:uid="{00000000-0006-0000-0300-000022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J5" authorId="0" shapeId="0" xr:uid="{00000000-0006-0000-0300-000026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K5" authorId="0" shapeId="0" xr:uid="{00000000-0006-0000-0300-00002A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L5" authorId="0" shapeId="0" xr:uid="{00000000-0006-0000-0300-00002E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A6" authorId="0" shapeId="0" xr:uid="{00000000-0006-0000-0300-000003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B6" authorId="0" shapeId="0" xr:uid="{00000000-0006-0000-0300-000007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C6" authorId="0" shapeId="0" xr:uid="{00000000-0006-0000-0300-00000B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D6" authorId="0" shapeId="0" xr:uid="{00000000-0006-0000-0300-00000F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E6" authorId="0" shapeId="0" xr:uid="{00000000-0006-0000-0300-000013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F6" authorId="0" shapeId="0" xr:uid="{00000000-0006-0000-0300-000017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G6" authorId="0" shapeId="0" xr:uid="{00000000-0006-0000-0300-00001B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H6" authorId="0" shapeId="0" xr:uid="{00000000-0006-0000-0300-00001F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I6" authorId="0" shapeId="0" xr:uid="{00000000-0006-0000-0300-000023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J6" authorId="0" shapeId="0" xr:uid="{00000000-0006-0000-0300-000027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K6" authorId="0" shapeId="0" xr:uid="{00000000-0006-0000-0300-00002B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L6" authorId="0" shapeId="0" xr:uid="{00000000-0006-0000-0300-00002F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A7" authorId="0" shapeId="0" xr:uid="{00000000-0006-0000-0300-000004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B7" authorId="0" shapeId="0" xr:uid="{00000000-0006-0000-0300-000008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C7" authorId="0" shapeId="0" xr:uid="{00000000-0006-0000-0300-00000C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D7" authorId="0" shapeId="0" xr:uid="{00000000-0006-0000-0300-000010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E7" authorId="0" shapeId="0" xr:uid="{00000000-0006-0000-0300-000014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F7" authorId="0" shapeId="0" xr:uid="{00000000-0006-0000-0300-000018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G7" authorId="0" shapeId="0" xr:uid="{00000000-0006-0000-0300-00001C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H7" authorId="0" shapeId="0" xr:uid="{00000000-0006-0000-0300-000020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I7" authorId="0" shapeId="0" xr:uid="{00000000-0006-0000-0300-000024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J7" authorId="0" shapeId="0" xr:uid="{00000000-0006-0000-0300-000028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K7" authorId="0" shapeId="0" xr:uid="{00000000-0006-0000-0300-00002C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  <comment ref="L7" authorId="0" shapeId="0" xr:uid="{00000000-0006-0000-0300-000030000000}">
      <text>
        <r>
          <rPr>
            <sz val="10"/>
            <rFont val="Arial"/>
            <family val="2"/>
          </rPr>
          <t>Source: Management business plan (illustrative project dataset).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A00-00000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5" authorId="0" shapeId="0" xr:uid="{00000000-0006-0000-0A00-00000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5" authorId="0" shapeId="0" xr:uid="{00000000-0006-0000-0A00-00000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E5" authorId="0" shapeId="0" xr:uid="{00000000-0006-0000-0A00-00000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F5" authorId="0" shapeId="0" xr:uid="{00000000-0006-0000-0A00-00001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G5" authorId="0" shapeId="0" xr:uid="{00000000-0006-0000-0A00-00001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H5" authorId="0" shapeId="0" xr:uid="{00000000-0006-0000-0A00-00001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I5" authorId="0" shapeId="0" xr:uid="{00000000-0006-0000-0A00-00001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J5" authorId="0" shapeId="0" xr:uid="{00000000-0006-0000-0A00-00002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K5" authorId="0" shapeId="0" xr:uid="{00000000-0006-0000-0A00-00002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L5" authorId="0" shapeId="0" xr:uid="{00000000-0006-0000-0A00-00002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M5" authorId="0" shapeId="0" xr:uid="{00000000-0006-0000-0A00-00002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N5" authorId="0" shapeId="0" xr:uid="{00000000-0006-0000-0A00-00003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O5" authorId="0" shapeId="0" xr:uid="{00000000-0006-0000-0A00-00003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P5" authorId="0" shapeId="0" xr:uid="{00000000-0006-0000-0A00-00003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Q5" authorId="0" shapeId="0" xr:uid="{00000000-0006-0000-0A00-00003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R5" authorId="0" shapeId="0" xr:uid="{00000000-0006-0000-0A00-00004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S5" authorId="0" shapeId="0" xr:uid="{00000000-0006-0000-0A00-00004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T5" authorId="0" shapeId="0" xr:uid="{00000000-0006-0000-0A00-00004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U5" authorId="0" shapeId="0" xr:uid="{00000000-0006-0000-0A00-00004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V5" authorId="0" shapeId="0" xr:uid="{00000000-0006-0000-0A00-000051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W5" authorId="0" shapeId="0" xr:uid="{00000000-0006-0000-0A00-000055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X5" authorId="0" shapeId="0" xr:uid="{00000000-0006-0000-0A00-000059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Y5" authorId="0" shapeId="0" xr:uid="{00000000-0006-0000-0A00-00005D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6" authorId="0" shapeId="0" xr:uid="{00000000-0006-0000-0A00-00000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6" authorId="0" shapeId="0" xr:uid="{00000000-0006-0000-0A00-00000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6" authorId="0" shapeId="0" xr:uid="{00000000-0006-0000-0A00-00000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E6" authorId="0" shapeId="0" xr:uid="{00000000-0006-0000-0A00-00000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F6" authorId="0" shapeId="0" xr:uid="{00000000-0006-0000-0A00-00001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G6" authorId="0" shapeId="0" xr:uid="{00000000-0006-0000-0A00-00001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H6" authorId="0" shapeId="0" xr:uid="{00000000-0006-0000-0A00-00001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I6" authorId="0" shapeId="0" xr:uid="{00000000-0006-0000-0A00-00001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J6" authorId="0" shapeId="0" xr:uid="{00000000-0006-0000-0A00-00002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K6" authorId="0" shapeId="0" xr:uid="{00000000-0006-0000-0A00-00002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L6" authorId="0" shapeId="0" xr:uid="{00000000-0006-0000-0A00-00002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M6" authorId="0" shapeId="0" xr:uid="{00000000-0006-0000-0A00-00002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N6" authorId="0" shapeId="0" xr:uid="{00000000-0006-0000-0A00-00003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O6" authorId="0" shapeId="0" xr:uid="{00000000-0006-0000-0A00-00003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P6" authorId="0" shapeId="0" xr:uid="{00000000-0006-0000-0A00-00003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Q6" authorId="0" shapeId="0" xr:uid="{00000000-0006-0000-0A00-00003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R6" authorId="0" shapeId="0" xr:uid="{00000000-0006-0000-0A00-00004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S6" authorId="0" shapeId="0" xr:uid="{00000000-0006-0000-0A00-00004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T6" authorId="0" shapeId="0" xr:uid="{00000000-0006-0000-0A00-00004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U6" authorId="0" shapeId="0" xr:uid="{00000000-0006-0000-0A00-00004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V6" authorId="0" shapeId="0" xr:uid="{00000000-0006-0000-0A00-000052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W6" authorId="0" shapeId="0" xr:uid="{00000000-0006-0000-0A00-000056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X6" authorId="0" shapeId="0" xr:uid="{00000000-0006-0000-0A00-00005A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Y6" authorId="0" shapeId="0" xr:uid="{00000000-0006-0000-0A00-00005E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7" authorId="0" shapeId="0" xr:uid="{00000000-0006-0000-0A00-00000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7" authorId="0" shapeId="0" xr:uid="{00000000-0006-0000-0A00-00000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7" authorId="0" shapeId="0" xr:uid="{00000000-0006-0000-0A00-00000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E7" authorId="0" shapeId="0" xr:uid="{00000000-0006-0000-0A00-00000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F7" authorId="0" shapeId="0" xr:uid="{00000000-0006-0000-0A00-00001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G7" authorId="0" shapeId="0" xr:uid="{00000000-0006-0000-0A00-00001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H7" authorId="0" shapeId="0" xr:uid="{00000000-0006-0000-0A00-00001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I7" authorId="0" shapeId="0" xr:uid="{00000000-0006-0000-0A00-00001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J7" authorId="0" shapeId="0" xr:uid="{00000000-0006-0000-0A00-00002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K7" authorId="0" shapeId="0" xr:uid="{00000000-0006-0000-0A00-00002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L7" authorId="0" shapeId="0" xr:uid="{00000000-0006-0000-0A00-00002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M7" authorId="0" shapeId="0" xr:uid="{00000000-0006-0000-0A00-00002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N7" authorId="0" shapeId="0" xr:uid="{00000000-0006-0000-0A00-00003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O7" authorId="0" shapeId="0" xr:uid="{00000000-0006-0000-0A00-00003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P7" authorId="0" shapeId="0" xr:uid="{00000000-0006-0000-0A00-00003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Q7" authorId="0" shapeId="0" xr:uid="{00000000-0006-0000-0A00-00003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R7" authorId="0" shapeId="0" xr:uid="{00000000-0006-0000-0A00-00004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S7" authorId="0" shapeId="0" xr:uid="{00000000-0006-0000-0A00-00004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T7" authorId="0" shapeId="0" xr:uid="{00000000-0006-0000-0A00-00004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U7" authorId="0" shapeId="0" xr:uid="{00000000-0006-0000-0A00-00004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V7" authorId="0" shapeId="0" xr:uid="{00000000-0006-0000-0A00-000053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W7" authorId="0" shapeId="0" xr:uid="{00000000-0006-0000-0A00-000057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X7" authorId="0" shapeId="0" xr:uid="{00000000-0006-0000-0A00-00005B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Y7" authorId="0" shapeId="0" xr:uid="{00000000-0006-0000-0A00-00005F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B8" authorId="0" shapeId="0" xr:uid="{00000000-0006-0000-0A00-00000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C8" authorId="0" shapeId="0" xr:uid="{00000000-0006-0000-0A00-00000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D8" authorId="0" shapeId="0" xr:uid="{00000000-0006-0000-0A00-00000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E8" authorId="0" shapeId="0" xr:uid="{00000000-0006-0000-0A00-00001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F8" authorId="0" shapeId="0" xr:uid="{00000000-0006-0000-0A00-00001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G8" authorId="0" shapeId="0" xr:uid="{00000000-0006-0000-0A00-00001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H8" authorId="0" shapeId="0" xr:uid="{00000000-0006-0000-0A00-00001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I8" authorId="0" shapeId="0" xr:uid="{00000000-0006-0000-0A00-00002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J8" authorId="0" shapeId="0" xr:uid="{00000000-0006-0000-0A00-00002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K8" authorId="0" shapeId="0" xr:uid="{00000000-0006-0000-0A00-00002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L8" authorId="0" shapeId="0" xr:uid="{00000000-0006-0000-0A00-00002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M8" authorId="0" shapeId="0" xr:uid="{00000000-0006-0000-0A00-00003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N8" authorId="0" shapeId="0" xr:uid="{00000000-0006-0000-0A00-00003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O8" authorId="0" shapeId="0" xr:uid="{00000000-0006-0000-0A00-00003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P8" authorId="0" shapeId="0" xr:uid="{00000000-0006-0000-0A00-00003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Q8" authorId="0" shapeId="0" xr:uid="{00000000-0006-0000-0A00-00004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R8" authorId="0" shapeId="0" xr:uid="{00000000-0006-0000-0A00-00004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S8" authorId="0" shapeId="0" xr:uid="{00000000-0006-0000-0A00-00004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T8" authorId="0" shapeId="0" xr:uid="{00000000-0006-0000-0A00-00004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U8" authorId="0" shapeId="0" xr:uid="{00000000-0006-0000-0A00-00005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V8" authorId="0" shapeId="0" xr:uid="{00000000-0006-0000-0A00-000054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W8" authorId="0" shapeId="0" xr:uid="{00000000-0006-0000-0A00-000058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X8" authorId="0" shapeId="0" xr:uid="{00000000-0006-0000-0A00-00005C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  <comment ref="Y8" authorId="0" shapeId="0" xr:uid="{00000000-0006-0000-0A00-000060000000}">
      <text>
        <r>
          <rPr>
            <sz val="10"/>
            <rFont val="Arial"/>
            <family val="2"/>
          </rPr>
          <t>Source: Management estimate (illustrative modeling assumption).</t>
        </r>
      </text>
    </comment>
  </commentList>
</comments>
</file>

<file path=xl/sharedStrings.xml><?xml version="1.0" encoding="utf-8"?>
<sst xmlns="http://schemas.openxmlformats.org/spreadsheetml/2006/main" count="401" uniqueCount="213">
  <si>
    <t>24-Month Cash Flow Forecast Model – Aurelia Developments LLC</t>
  </si>
  <si>
    <t>Purpose</t>
  </si>
  <si>
    <t>Institutional-quality monthly cash flow forecast for a Dubai luxury real estate developer, built for FP&amp;A, private equity diligence, treasury planning, and project finance review.</t>
  </si>
  <si>
    <t>Color coding</t>
  </si>
  <si>
    <t>Blue font = hard-coded inputs; Black font = formulas; Green font = links from other sheets; Grey fill = headers/static labels; Light yellow fill = scenario toggle inputs.</t>
  </si>
  <si>
    <t>Model structure</t>
  </si>
  <si>
    <t>1) Scenario Toggle  2) Assumptions  3) Project Database  4) Operating Schedules  5) Financing Schedules  6) Consolidated Cash Flow  7) Liquidity  8) Sensitivity  9) Dashboard</t>
  </si>
  <si>
    <t>How to use</t>
  </si>
  <si>
    <t>Select Base Case / Downside Case / Upside Case on the Scenario Toggle sheet. Update only blue-font assumption cells. All monthly schedules and outputs will update automatically.</t>
  </si>
  <si>
    <t>Output horizon</t>
  </si>
  <si>
    <t>Monthly forecast covering Apr-26 to Mar-28 (24 months).</t>
  </si>
  <si>
    <t>Checks</t>
  </si>
  <si>
    <t>The model contains schedule links, debt roll-forward logic, cash roll-forward logic, escrow mechanics, and liquidity outputs intended to mimic a PE / lender review model.</t>
  </si>
  <si>
    <t>Scenario Control Panel</t>
  </si>
  <si>
    <t>Active Scenario</t>
  </si>
  <si>
    <t>Base Case</t>
  </si>
  <si>
    <t>Description</t>
  </si>
  <si>
    <t>Select scenario from dropdown. All key drivers below flow into Assumptions.</t>
  </si>
  <si>
    <t>Scenario Multipliers</t>
  </si>
  <si>
    <t>Driver</t>
  </si>
  <si>
    <t>Downside Case</t>
  </si>
  <si>
    <t>Upside Case</t>
  </si>
  <si>
    <t>Selected Value</t>
  </si>
  <si>
    <t>Unit</t>
  </si>
  <si>
    <t>Sales velocity multiplier</t>
  </si>
  <si>
    <t>x</t>
  </si>
  <si>
    <t>Sales price growth p.m.</t>
  </si>
  <si>
    <t>%</t>
  </si>
  <si>
    <t>Cancellation rate</t>
  </si>
  <si>
    <t>Construction cost overrun</t>
  </si>
  <si>
    <t>Construction delay (months)</t>
  </si>
  <si>
    <t>months</t>
  </si>
  <si>
    <t>Interest rate premium</t>
  </si>
  <si>
    <t>Rent / hospitality multiplier</t>
  </si>
  <si>
    <t>Assumptions</t>
  </si>
  <si>
    <t>Macro Assumptions</t>
  </si>
  <si>
    <t>Assumption</t>
  </si>
  <si>
    <t>Base</t>
  </si>
  <si>
    <t>Downside</t>
  </si>
  <si>
    <t>Upside</t>
  </si>
  <si>
    <t>Selected</t>
  </si>
  <si>
    <t>Source / Note</t>
  </si>
  <si>
    <t>Inflation p.a.</t>
  </si>
  <si>
    <t>Illustrative management planning assumption</t>
  </si>
  <si>
    <t>Construction cost escalation p.a.</t>
  </si>
  <si>
    <t>Illustrative</t>
  </si>
  <si>
    <t>Base borrowing rate p.a.</t>
  </si>
  <si>
    <t>FX AED/USD</t>
  </si>
  <si>
    <t>AED peg</t>
  </si>
  <si>
    <t>Minimum cash threshold</t>
  </si>
  <si>
    <t>AED</t>
  </si>
  <si>
    <t>Treasury policy</t>
  </si>
  <si>
    <t>Undrawn corporate revolver</t>
  </si>
  <si>
    <t>Available liquidity support</t>
  </si>
  <si>
    <t>Sales Assumptions</t>
  </si>
  <si>
    <t>Booking payment</t>
  </si>
  <si>
    <t>Dubai off-plan</t>
  </si>
  <si>
    <t>Milestone 1 payment</t>
  </si>
  <si>
    <t>6 months after sale</t>
  </si>
  <si>
    <t>Milestone 2 payment</t>
  </si>
  <si>
    <t>12 months after sale</t>
  </si>
  <si>
    <t>Milestone 3 payment</t>
  </si>
  <si>
    <t>18 months after sale</t>
  </si>
  <si>
    <t>Handover payment</t>
  </si>
  <si>
    <t>At completion / handover</t>
  </si>
  <si>
    <t>Monthly sales commission</t>
  </si>
  <si>
    <t>As % of sales value</t>
  </si>
  <si>
    <t>Monthly rental growth p.a.</t>
  </si>
  <si>
    <t>Portfolio rental growth</t>
  </si>
  <si>
    <t>Monthly hospitality growth p.a.</t>
  </si>
  <si>
    <t>Hospitality revenue growth</t>
  </si>
  <si>
    <t>Corporate Assumptions</t>
  </si>
  <si>
    <t>Executive salaries (monthly)</t>
  </si>
  <si>
    <t>Employee payroll (monthly)</t>
  </si>
  <si>
    <t>Office rent (monthly)</t>
  </si>
  <si>
    <t>Insurance (monthly)</t>
  </si>
  <si>
    <t>Legal &amp; professional fees (monthly)</t>
  </si>
  <si>
    <t>IT costs (monthly)</t>
  </si>
  <si>
    <t>General admin (monthly)</t>
  </si>
  <si>
    <t>Payroll growth p.a.</t>
  </si>
  <si>
    <t>Escalation</t>
  </si>
  <si>
    <t>Admin cost growth p.a.</t>
  </si>
  <si>
    <t>Development Project Database</t>
  </si>
  <si>
    <t>Project Name</t>
  </si>
  <si>
    <t>Location</t>
  </si>
  <si>
    <t>Units</t>
  </si>
  <si>
    <t>Launch Date</t>
  </si>
  <si>
    <t>Completion Date</t>
  </si>
  <si>
    <t>Project Budget</t>
  </si>
  <si>
    <t>Avg Saleable Sqft / Unit</t>
  </si>
  <si>
    <t>Initial ASP / Sqft</t>
  </si>
  <si>
    <t>Gross Margin Target</t>
  </si>
  <si>
    <t>Opening Escrow</t>
  </si>
  <si>
    <t>Opening Debt</t>
  </si>
  <si>
    <t>Land / Predev Spend To Date</t>
  </si>
  <si>
    <t>Marina Residences Tower</t>
  </si>
  <si>
    <t>Dubai Marina</t>
  </si>
  <si>
    <t>Palm Waterfront Villas</t>
  </si>
  <si>
    <t>Palm Jumeirah</t>
  </si>
  <si>
    <t>Downtown Branded Residences</t>
  </si>
  <si>
    <t>Downtown Dubai</t>
  </si>
  <si>
    <t>Jumeirah Mixed-Use Development</t>
  </si>
  <si>
    <t>Jumeirah</t>
  </si>
  <si>
    <t>Total / Average</t>
  </si>
  <si>
    <t>Monthly Sales Forecast Model</t>
  </si>
  <si>
    <t>Project</t>
  </si>
  <si>
    <t>Metric</t>
  </si>
  <si>
    <t>Units Available BOY</t>
  </si>
  <si>
    <t>Units Sold</t>
  </si>
  <si>
    <t>Cancellations</t>
  </si>
  <si>
    <t>Net Units Sold</t>
  </si>
  <si>
    <t>Avg Selling Price / Unit</t>
  </si>
  <si>
    <t>Sales Value</t>
  </si>
  <si>
    <t>Portfolio</t>
  </si>
  <si>
    <t>Total Net Units Sold</t>
  </si>
  <si>
    <t>Total Sales Value</t>
  </si>
  <si>
    <t>Customer Collection Schedule</t>
  </si>
  <si>
    <t>Booking 20%</t>
  </si>
  <si>
    <t>Milestone 1 20%</t>
  </si>
  <si>
    <t>Milestone 2 20%</t>
  </si>
  <si>
    <t>Milestone 3 20%</t>
  </si>
  <si>
    <t>Handover 20%</t>
  </si>
  <si>
    <t>Total Customer Collections</t>
  </si>
  <si>
    <t>Sales Commissions</t>
  </si>
  <si>
    <t>Total Collections</t>
  </si>
  <si>
    <t>Total Sales Commissions</t>
  </si>
  <si>
    <t>Project Construction Cost Schedule</t>
  </si>
  <si>
    <t>Budget / KPI</t>
  </si>
  <si>
    <t>Total Budget</t>
  </si>
  <si>
    <t>Monthly Spend</t>
  </si>
  <si>
    <t>Cumulative Spend</t>
  </si>
  <si>
    <t>Remaining Cost</t>
  </si>
  <si>
    <t>Construction Progress %</t>
  </si>
  <si>
    <t>Approved Release %</t>
  </si>
  <si>
    <t>Total Monthly Construction Spend</t>
  </si>
  <si>
    <t>Total Remaining Cost</t>
  </si>
  <si>
    <t>Project Escrow Account Schedule</t>
  </si>
  <si>
    <t>Opening</t>
  </si>
  <si>
    <t>Opening Balance</t>
  </si>
  <si>
    <t>Customer Deposits</t>
  </si>
  <si>
    <t>Approved Releases</t>
  </si>
  <si>
    <t>Closing Balance</t>
  </si>
  <si>
    <t>Min Escrow Reserve %</t>
  </si>
  <si>
    <t>Corporate Operating Expense Schedule</t>
  </si>
  <si>
    <t>Monthly Corporate Cost Schedule</t>
  </si>
  <si>
    <t>Executive salaries</t>
  </si>
  <si>
    <t>Employee payroll</t>
  </si>
  <si>
    <t>Office rent</t>
  </si>
  <si>
    <t>Insurance</t>
  </si>
  <si>
    <t>Legal &amp; professional fees</t>
  </si>
  <si>
    <t>IT costs</t>
  </si>
  <si>
    <t>General admin</t>
  </si>
  <si>
    <t>Total Corporate Opex</t>
  </si>
  <si>
    <t>Debt and Financing Schedule</t>
  </si>
  <si>
    <t>Opening / Rate</t>
  </si>
  <si>
    <t>Drawdowns</t>
  </si>
  <si>
    <t>Interest Rate</t>
  </si>
  <si>
    <t>Interest Accrued</t>
  </si>
  <si>
    <t>Interest Paid</t>
  </si>
  <si>
    <t>Principal Repayment</t>
  </si>
  <si>
    <t>Corporate Revolver</t>
  </si>
  <si>
    <t>Capital Expenditure Schedule</t>
  </si>
  <si>
    <t>Land acquisitions</t>
  </si>
  <si>
    <t>Sales center construction</t>
  </si>
  <si>
    <t>Office expansion</t>
  </si>
  <si>
    <t>Technology investment</t>
  </si>
  <si>
    <t>Total CapEx</t>
  </si>
  <si>
    <t>Consolidated Monthly Cash Flow Forecast</t>
  </si>
  <si>
    <t>Opening Cash</t>
  </si>
  <si>
    <t>Operating Cash Inflows</t>
  </si>
  <si>
    <t>Off-plan customer collections</t>
  </si>
  <si>
    <t>Rental income</t>
  </si>
  <si>
    <t>Hospitality revenue</t>
  </si>
  <si>
    <t>JV / other operating inflows</t>
  </si>
  <si>
    <t>Total Operating Inflows</t>
  </si>
  <si>
    <t>Operating Cash Outflows</t>
  </si>
  <si>
    <t>Construction spend (net of escrow? gross shown below)</t>
  </si>
  <si>
    <t>Sales commissions</t>
  </si>
  <si>
    <t>Corporate opex</t>
  </si>
  <si>
    <t>Net Operating Cash Flow</t>
  </si>
  <si>
    <t>Investing Cash Flow</t>
  </si>
  <si>
    <t>CapEx</t>
  </si>
  <si>
    <t>Net Investing Cash Flow</t>
  </si>
  <si>
    <t>Financing Cash Flow</t>
  </si>
  <si>
    <t>Project loan drawdowns</t>
  </si>
  <si>
    <t>Interest paid</t>
  </si>
  <si>
    <t>Principal repayments</t>
  </si>
  <si>
    <t>Equity / sponsor support</t>
  </si>
  <si>
    <t>Net Financing Cash Flow</t>
  </si>
  <si>
    <t>Net Change in Cash</t>
  </si>
  <si>
    <t>Closing Cash</t>
  </si>
  <si>
    <t>Liquidity Analysis</t>
  </si>
  <si>
    <t>Undrawn Credit Facilities</t>
  </si>
  <si>
    <t>Available Liquidity</t>
  </si>
  <si>
    <t>Minimum Cash Threshold</t>
  </si>
  <si>
    <t>Liquidity Surplus / (Gap)</t>
  </si>
  <si>
    <t>Peak Funding Gap Flag</t>
  </si>
  <si>
    <t>Minimum Liquidity Surplus</t>
  </si>
  <si>
    <t>Peak Funding Gap</t>
  </si>
  <si>
    <t>Sensitivity Analysis</t>
  </si>
  <si>
    <t>Ending Cash Sensitivity (AED mm)</t>
  </si>
  <si>
    <t>Sales Price \ Sales Velocity</t>
  </si>
  <si>
    <t>Funding Requirement Sensitivity (AED mm)</t>
  </si>
  <si>
    <t>Construction Cost \ Interest Rate</t>
  </si>
  <si>
    <t>Management Dashboard</t>
  </si>
  <si>
    <t>Ending Cash</t>
  </si>
  <si>
    <t>Total Units Sold</t>
  </si>
  <si>
    <t>Total Construction Spend</t>
  </si>
  <si>
    <t>Total Project Drawdowns</t>
  </si>
  <si>
    <t>Sponsor Support / Equity</t>
  </si>
  <si>
    <t>Month</t>
  </si>
  <si>
    <t>Collections</t>
  </si>
  <si>
    <t>Construction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</si>
</sst>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x"/>
    <numFmt numFmtId="165" formatCode="0.0%"/>
    <numFmt numFmtId="166" formatCode="_(* #,##0_);[Red]_(* \(#,##0\);_(* \-_);_(@_)"/>
    <numFmt numFmtId="167" formatCode="0.0"/>
    <numFmt numFmtId="168" formatCode="#,##0.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Cambria"/>
      <family val="1"/>
    </font>
    <font>
      <b/>
      <sz val="11"/>
      <name val="Cambria"/>
      <family val="1"/>
    </font>
    <font>
      <b/>
      <sz val="11"/>
      <color rgb="FF7030A0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A629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7F7F7"/>
      </patternFill>
    </fill>
    <fill>
      <patternFill patternType="solid">
        <fgColor rgb="FF000000"/>
        <bgColor rgb="FF003300"/>
      </patternFill>
    </fill>
    <fill>
      <patternFill patternType="solid">
        <fgColor rgb="FFBFBFBF"/>
        <bgColor rgb="FFBDB4CB"/>
      </patternFill>
    </fill>
    <fill>
      <patternFill patternType="solid">
        <fgColor rgb="FFF7F7F7"/>
        <bgColor rgb="FFFFFFFF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44">
    <xf numFmtId="0" fontId="0" fillId="0" borderId="0" xfId="0"/>
    <xf numFmtId="167" fontId="9" fillId="8" borderId="0" xfId="0" applyNumberFormat="1" applyFont="1" applyFill="1"/>
    <xf numFmtId="166" fontId="9" fillId="8" borderId="0" xfId="0" applyNumberFormat="1" applyFont="1" applyFill="1"/>
    <xf numFmtId="0" fontId="3" fillId="6" borderId="0" xfId="0" applyFont="1" applyFill="1"/>
    <xf numFmtId="0" fontId="5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/>
    <xf numFmtId="0" fontId="0" fillId="0" borderId="0" xfId="0" applyAlignment="1">
      <alignment wrapText="1"/>
    </xf>
    <xf numFmtId="0" fontId="4" fillId="4" borderId="0" xfId="0" applyFont="1" applyFill="1"/>
    <xf numFmtId="0" fontId="3" fillId="6" borderId="0" xfId="0" applyFont="1" applyFill="1"/>
    <xf numFmtId="164" fontId="6" fillId="7" borderId="0" xfId="0" applyNumberFormat="1" applyFont="1" applyFill="1"/>
    <xf numFmtId="164" fontId="7" fillId="0" borderId="0" xfId="0" applyNumberFormat="1" applyFont="1"/>
    <xf numFmtId="165" fontId="6" fillId="7" borderId="0" xfId="0" applyNumberFormat="1" applyFont="1" applyFill="1"/>
    <xf numFmtId="165" fontId="7" fillId="0" borderId="0" xfId="0" applyNumberFormat="1" applyFont="1"/>
    <xf numFmtId="0" fontId="6" fillId="7" borderId="0" xfId="0" applyFont="1" applyFill="1"/>
    <xf numFmtId="0" fontId="7" fillId="0" borderId="0" xfId="0" applyFont="1"/>
    <xf numFmtId="166" fontId="6" fillId="7" borderId="0" xfId="0" applyNumberFormat="1" applyFont="1" applyFill="1"/>
    <xf numFmtId="166" fontId="7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6" fillId="0" borderId="0" xfId="0" applyFont="1"/>
    <xf numFmtId="3" fontId="6" fillId="0" borderId="0" xfId="0" applyNumberFormat="1" applyFont="1"/>
    <xf numFmtId="17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0" fontId="3" fillId="3" borderId="1" xfId="0" applyFont="1" applyFill="1" applyBorder="1"/>
    <xf numFmtId="3" fontId="3" fillId="3" borderId="1" xfId="0" applyNumberFormat="1" applyFont="1" applyFill="1" applyBorder="1"/>
    <xf numFmtId="166" fontId="3" fillId="3" borderId="1" xfId="0" applyNumberFormat="1" applyFont="1" applyFill="1" applyBorder="1"/>
    <xf numFmtId="165" fontId="3" fillId="3" borderId="1" xfId="0" applyNumberFormat="1" applyFont="1" applyFill="1" applyBorder="1"/>
    <xf numFmtId="17" fontId="3" fillId="6" borderId="0" xfId="0" applyNumberFormat="1" applyFont="1" applyFill="1" applyAlignment="1">
      <alignment horizontal="center" vertical="center"/>
    </xf>
    <xf numFmtId="0" fontId="3" fillId="8" borderId="0" xfId="0" applyFont="1" applyFill="1"/>
    <xf numFmtId="3" fontId="3" fillId="8" borderId="0" xfId="0" applyNumberFormat="1" applyFont="1" applyFill="1"/>
    <xf numFmtId="0" fontId="8" fillId="0" borderId="0" xfId="0" applyFont="1"/>
    <xf numFmtId="0" fontId="0" fillId="0" borderId="0" xfId="0" applyAlignment="1">
      <alignment horizontal="left" vertical="center" indent="1"/>
    </xf>
    <xf numFmtId="3" fontId="7" fillId="0" borderId="0" xfId="0" applyNumberFormat="1" applyFont="1"/>
    <xf numFmtId="167" fontId="7" fillId="0" borderId="0" xfId="0" applyNumberFormat="1" applyFont="1"/>
    <xf numFmtId="167" fontId="3" fillId="3" borderId="1" xfId="0" applyNumberFormat="1" applyFont="1" applyFill="1" applyBorder="1"/>
    <xf numFmtId="17" fontId="3" fillId="6" borderId="0" xfId="0" applyNumberFormat="1" applyFont="1" applyFill="1"/>
    <xf numFmtId="166" fontId="3" fillId="8" borderId="0" xfId="0" applyNumberFormat="1" applyFont="1" applyFill="1"/>
    <xf numFmtId="0" fontId="5" fillId="5" borderId="0" xfId="0" applyFont="1" applyFill="1"/>
    <xf numFmtId="0" fontId="0" fillId="5" borderId="0" xfId="0" applyFill="1"/>
    <xf numFmtId="0" fontId="3" fillId="0" borderId="0" xfId="0" applyFont="1"/>
    <xf numFmtId="168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2"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7D6B1"/>
      <rgbColor rgb="FFFF00FF"/>
      <rgbColor rgb="FF00FFFF"/>
      <rgbColor rgb="FF800000"/>
      <rgbColor rgb="FF008000"/>
      <rgbColor rgb="FF000080"/>
      <rgbColor rgb="FF789142"/>
      <rgbColor rgb="FF7030A0"/>
      <rgbColor rgb="FF4F81BD"/>
      <rgbColor rgb="FFBFBFBF"/>
      <rgbColor rgb="FF878787"/>
      <rgbColor rgb="FF7997C4"/>
      <rgbColor rgb="FF953B38"/>
      <rgbColor rgb="FFFFF2CC"/>
      <rgbColor rgb="FFDDEBF7"/>
      <rgbColor rgb="FF660066"/>
      <rgbColor rgb="FFF5A574"/>
      <rgbColor rgb="FF3A6293"/>
      <rgbColor rgb="FFD9D9D9"/>
      <rgbColor rgb="FF000080"/>
      <rgbColor rgb="FFFF00FF"/>
      <rgbColor rgb="FFB0BED7"/>
      <rgbColor rgb="FF00FFFF"/>
      <rgbColor rgb="FFC77978"/>
      <rgbColor rgb="FF800000"/>
      <rgbColor rgb="FF5B9BD5"/>
      <rgbColor rgb="FF0000FF"/>
      <rgbColor rgb="FF77B6CC"/>
      <rgbColor rgb="FFD9E1F2"/>
      <rgbColor rgb="FFF7F7F7"/>
      <rgbColor rgb="FFF4CCCC"/>
      <rgbColor rgb="FFB0CFDC"/>
      <rgbColor rgb="FFD9B0B0"/>
      <rgbColor rgb="FFBDB4CB"/>
      <rgbColor rgb="FFF6C4AE"/>
      <rgbColor rgb="FF4475B0"/>
      <rgbColor rgb="FF419FB7"/>
      <rgbColor rgb="FF8EAD4F"/>
      <rgbColor rgb="FFA9C37E"/>
      <rgbColor rgb="FFE5883B"/>
      <rgbColor rgb="FFC07332"/>
      <rgbColor rgb="FF745994"/>
      <rgbColor rgb="FF9684AF"/>
      <rgbColor rgb="FF003366"/>
      <rgbColor rgb="FF37859A"/>
      <rgbColor rgb="FF003300"/>
      <rgbColor rgb="FF333300"/>
      <rgbColor rgb="FFC0504D"/>
      <rgbColor rgb="FFB24543"/>
      <rgbColor rgb="FF1F4E78"/>
      <rgbColor rgb="FF624B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Cash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Dashboard!$B$19</c:f>
              <c:numCache>
                <c:formatCode>_(* #,##0_);[Red]_(* \(#,##0\);_(* \-_);_(@_)</c:formatCode>
                <c:ptCount val="1"/>
                <c:pt idx="0">
                  <c:v>106166666.63666666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10-E743-A558-3A4EDCC4E6EA}"/>
            </c:ext>
          </c:extLst>
        </c:ser>
        <c:ser>
          <c:idx val="1"/>
          <c:order val="1"/>
          <c:spPr>
            <a:ln w="2844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Dashboard!$C$19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10-E743-A558-3A4EDCC4E6EA}"/>
            </c:ext>
          </c:extLst>
        </c:ser>
        <c:ser>
          <c:idx val="2"/>
          <c:order val="2"/>
          <c:spPr>
            <a:ln w="2844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Dashboard!$D$19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10-E743-A558-3A4EDCC4E6EA}"/>
            </c:ext>
          </c:extLst>
        </c:ser>
        <c:ser>
          <c:idx val="3"/>
          <c:order val="3"/>
          <c:spPr>
            <a:ln w="2844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Dashboard!$E$19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E10-E743-A558-3A4EDCC4E6EA}"/>
            </c:ext>
          </c:extLst>
        </c:ser>
        <c:ser>
          <c:idx val="4"/>
          <c:order val="4"/>
          <c:spPr>
            <a:ln w="2844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Dashboard!$F$19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E10-E743-A558-3A4EDCC4E6EA}"/>
            </c:ext>
          </c:extLst>
        </c:ser>
        <c:ser>
          <c:idx val="5"/>
          <c:order val="5"/>
          <c:spPr>
            <a:ln w="2844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Dashboard!$G$19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E10-E743-A558-3A4EDCC4E6EA}"/>
            </c:ext>
          </c:extLst>
        </c:ser>
        <c:ser>
          <c:idx val="6"/>
          <c:order val="6"/>
          <c:spPr>
            <a:ln w="2844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Dashboard!$H$19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E10-E743-A558-3A4EDCC4E6EA}"/>
            </c:ext>
          </c:extLst>
        </c:ser>
        <c:ser>
          <c:idx val="7"/>
          <c:order val="7"/>
          <c:spPr>
            <a:ln w="2844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Dashboard!$I$19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E10-E743-A558-3A4EDCC4E6EA}"/>
            </c:ext>
          </c:extLst>
        </c:ser>
        <c:ser>
          <c:idx val="8"/>
          <c:order val="8"/>
          <c:spPr>
            <a:ln w="2844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Dashboard!$J$19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E10-E743-A558-3A4EDCC4E6EA}"/>
            </c:ext>
          </c:extLst>
        </c:ser>
        <c:ser>
          <c:idx val="9"/>
          <c:order val="9"/>
          <c:spPr>
            <a:ln w="2844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Dashboard!$K$19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E10-E743-A558-3A4EDCC4E6EA}"/>
            </c:ext>
          </c:extLst>
        </c:ser>
        <c:ser>
          <c:idx val="10"/>
          <c:order val="10"/>
          <c:spPr>
            <a:ln w="2844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Dashboard!$L$19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E10-E743-A558-3A4EDCC4E6EA}"/>
            </c:ext>
          </c:extLst>
        </c:ser>
        <c:ser>
          <c:idx val="11"/>
          <c:order val="11"/>
          <c:spPr>
            <a:ln w="2844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Dashboard!$M$19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E10-E743-A558-3A4EDCC4E6EA}"/>
            </c:ext>
          </c:extLst>
        </c:ser>
        <c:ser>
          <c:idx val="12"/>
          <c:order val="12"/>
          <c:spPr>
            <a:ln w="2844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Dashboard!$N$19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E10-E743-A558-3A4EDCC4E6EA}"/>
            </c:ext>
          </c:extLst>
        </c:ser>
        <c:ser>
          <c:idx val="13"/>
          <c:order val="13"/>
          <c:spPr>
            <a:ln w="2844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Dashboard!$O$19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E10-E743-A558-3A4EDCC4E6EA}"/>
            </c:ext>
          </c:extLst>
        </c:ser>
        <c:ser>
          <c:idx val="14"/>
          <c:order val="14"/>
          <c:spPr>
            <a:ln w="2844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Dashboard!$P$19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E10-E743-A558-3A4EDCC4E6EA}"/>
            </c:ext>
          </c:extLst>
        </c:ser>
        <c:ser>
          <c:idx val="15"/>
          <c:order val="15"/>
          <c:spPr>
            <a:ln w="2844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Dashboard!$Q$19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E10-E743-A558-3A4EDCC4E6EA}"/>
            </c:ext>
          </c:extLst>
        </c:ser>
        <c:ser>
          <c:idx val="16"/>
          <c:order val="16"/>
          <c:spPr>
            <a:ln w="2844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Dashboard!$R$19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E10-E743-A558-3A4EDCC4E6EA}"/>
            </c:ext>
          </c:extLst>
        </c:ser>
        <c:ser>
          <c:idx val="17"/>
          <c:order val="17"/>
          <c:spPr>
            <a:ln w="2844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Dashboard!$S$19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E10-E743-A558-3A4EDCC4E6EA}"/>
            </c:ext>
          </c:extLst>
        </c:ser>
        <c:ser>
          <c:idx val="18"/>
          <c:order val="18"/>
          <c:spPr>
            <a:ln w="2844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Dashboard!$T$19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E10-E743-A558-3A4EDCC4E6EA}"/>
            </c:ext>
          </c:extLst>
        </c:ser>
        <c:ser>
          <c:idx val="19"/>
          <c:order val="19"/>
          <c:spPr>
            <a:ln w="2844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Dashboard!$U$19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E10-E743-A558-3A4EDCC4E6EA}"/>
            </c:ext>
          </c:extLst>
        </c:ser>
        <c:ser>
          <c:idx val="20"/>
          <c:order val="20"/>
          <c:spPr>
            <a:ln w="2844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Dashboard!$V$19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BE10-E743-A558-3A4EDCC4E6EA}"/>
            </c:ext>
          </c:extLst>
        </c:ser>
        <c:ser>
          <c:idx val="21"/>
          <c:order val="21"/>
          <c:spPr>
            <a:ln w="28440">
              <a:solidFill>
                <a:srgbClr val="BDB4C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Dashboard!$W$19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BE10-E743-A558-3A4EDCC4E6EA}"/>
            </c:ext>
          </c:extLst>
        </c:ser>
        <c:ser>
          <c:idx val="22"/>
          <c:order val="22"/>
          <c:spPr>
            <a:ln w="28440">
              <a:solidFill>
                <a:srgbClr val="B0CF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Dashboard!$X$19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BE10-E743-A558-3A4EDCC4E6EA}"/>
            </c:ext>
          </c:extLst>
        </c:ser>
        <c:ser>
          <c:idx val="23"/>
          <c:order val="23"/>
          <c:spPr>
            <a:ln w="28440">
              <a:solidFill>
                <a:srgbClr val="F6C4A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Dashboard!$Y$19</c:f>
              <c:numCache>
                <c:formatCode>_(* #,##0_);[Red]_(* \(#,##0\);_(* \-_);_(@_)</c:formatCode>
                <c:ptCount val="1"/>
                <c:pt idx="0">
                  <c:v>75000000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BE10-E743-A558-3A4EDCC4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774790"/>
        <c:axId val="1284536"/>
      </c:lineChart>
      <c:dateAx>
        <c:axId val="30774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84536"/>
        <c:crosses val="autoZero"/>
        <c:auto val="1"/>
        <c:lblOffset val="100"/>
        <c:baseTimeUnit val="days"/>
      </c:dateAx>
      <c:valAx>
        <c:axId val="1284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_);[Red]_(* \(#,##0\);_(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774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Collections vs Construction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Dashboard!$B$20:$Y$20</c:f>
              <c:numCache>
                <c:formatCode>_(* #,##0_);[Red]_(* \(#,##0\);_(* \-_);_(@_)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295100255.4217996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6-EA43-B97B-DB606A96C18D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Dashboard!$B$18:$Y$18</c:f>
              <c:numCache>
                <c:formatCode>mmm\-yy</c:formatCode>
                <c:ptCount val="24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</c:numCache>
            </c:numRef>
          </c:cat>
          <c:val>
            <c:numRef>
              <c:f>Dashboard!$B$21:$Y$21</c:f>
              <c:numCache>
                <c:formatCode>_(* #,##0_);[Red]_(* \(#,##0\);_(* \-_);_(@_)</c:formatCode>
                <c:ptCount val="24"/>
                <c:pt idx="0">
                  <c:v>50000000</c:v>
                </c:pt>
                <c:pt idx="1">
                  <c:v>82625000</c:v>
                </c:pt>
                <c:pt idx="2">
                  <c:v>123307752.97619048</c:v>
                </c:pt>
                <c:pt idx="3">
                  <c:v>175996974.73958331</c:v>
                </c:pt>
                <c:pt idx="4">
                  <c:v>176436967.17643228</c:v>
                </c:pt>
                <c:pt idx="5">
                  <c:v>176878059.59437332</c:v>
                </c:pt>
                <c:pt idx="6">
                  <c:v>177320254.74335927</c:v>
                </c:pt>
                <c:pt idx="7">
                  <c:v>177763555.38021764</c:v>
                </c:pt>
                <c:pt idx="8">
                  <c:v>178207964.26866817</c:v>
                </c:pt>
                <c:pt idx="9">
                  <c:v>178653484.17933986</c:v>
                </c:pt>
                <c:pt idx="10">
                  <c:v>179100117.88978821</c:v>
                </c:pt>
                <c:pt idx="11">
                  <c:v>179547868.18451265</c:v>
                </c:pt>
                <c:pt idx="12">
                  <c:v>179996737.85497391</c:v>
                </c:pt>
                <c:pt idx="13">
                  <c:v>180446729.69961137</c:v>
                </c:pt>
                <c:pt idx="14">
                  <c:v>180897846.52386037</c:v>
                </c:pt>
                <c:pt idx="15">
                  <c:v>181350091.14017004</c:v>
                </c:pt>
                <c:pt idx="16">
                  <c:v>181803466.36802042</c:v>
                </c:pt>
                <c:pt idx="17">
                  <c:v>182257975.03394046</c:v>
                </c:pt>
                <c:pt idx="18">
                  <c:v>130415163.95289934</c:v>
                </c:pt>
                <c:pt idx="19">
                  <c:v>130741201.86278158</c:v>
                </c:pt>
                <c:pt idx="20">
                  <c:v>131068054.86743852</c:v>
                </c:pt>
                <c:pt idx="21">
                  <c:v>97231546.147962123</c:v>
                </c:pt>
                <c:pt idx="22">
                  <c:v>97474625.013332039</c:v>
                </c:pt>
                <c:pt idx="23">
                  <c:v>55063145.409977287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6-EA43-B97B-DB606A96C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8628"/>
        <c:axId val="65661340"/>
      </c:barChart>
      <c:dateAx>
        <c:axId val="501886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661340"/>
        <c:crosses val="autoZero"/>
        <c:auto val="1"/>
        <c:lblOffset val="100"/>
        <c:baseTimeUnit val="months"/>
      </c:dateAx>
      <c:valAx>
        <c:axId val="65661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_);[Red]_(* \(#,##0\);_(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0188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Value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3A6293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F2B5-4F48-B976-C83A9236DECA}"/>
            </c:ext>
          </c:extLst>
        </c:ser>
        <c:ser>
          <c:idx val="1"/>
          <c:order val="1"/>
          <c:spPr>
            <a:ln w="28440">
              <a:solidFill>
                <a:srgbClr val="953B38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1-F2B5-4F48-B976-C83A9236DECA}"/>
            </c:ext>
          </c:extLst>
        </c:ser>
        <c:ser>
          <c:idx val="2"/>
          <c:order val="2"/>
          <c:spPr>
            <a:ln w="28440">
              <a:solidFill>
                <a:srgbClr val="789142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2-F2B5-4F48-B976-C83A9236DECA}"/>
            </c:ext>
          </c:extLst>
        </c:ser>
        <c:ser>
          <c:idx val="3"/>
          <c:order val="3"/>
          <c:spPr>
            <a:ln w="28440">
              <a:solidFill>
                <a:srgbClr val="624B7D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3-F2B5-4F48-B976-C83A9236DECA}"/>
            </c:ext>
          </c:extLst>
        </c:ser>
        <c:ser>
          <c:idx val="4"/>
          <c:order val="4"/>
          <c:spPr>
            <a:ln w="28440">
              <a:solidFill>
                <a:srgbClr val="37859A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4-F2B5-4F48-B976-C83A9236DECA}"/>
            </c:ext>
          </c:extLst>
        </c:ser>
        <c:ser>
          <c:idx val="5"/>
          <c:order val="5"/>
          <c:spPr>
            <a:ln w="28440">
              <a:solidFill>
                <a:srgbClr val="C07332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5-F2B5-4F48-B976-C83A9236DECA}"/>
            </c:ext>
          </c:extLst>
        </c:ser>
        <c:ser>
          <c:idx val="6"/>
          <c:order val="6"/>
          <c:spPr>
            <a:ln w="28440">
              <a:solidFill>
                <a:srgbClr val="4475B0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6-F2B5-4F48-B976-C83A9236DECA}"/>
            </c:ext>
          </c:extLst>
        </c:ser>
        <c:ser>
          <c:idx val="7"/>
          <c:order val="7"/>
          <c:spPr>
            <a:ln w="28440">
              <a:solidFill>
                <a:srgbClr val="B24543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7-F2B5-4F48-B976-C83A9236DECA}"/>
            </c:ext>
          </c:extLst>
        </c:ser>
        <c:ser>
          <c:idx val="8"/>
          <c:order val="8"/>
          <c:spPr>
            <a:ln w="28440">
              <a:solidFill>
                <a:srgbClr val="8EAD4F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8-F2B5-4F48-B976-C83A9236DECA}"/>
            </c:ext>
          </c:extLst>
        </c:ser>
        <c:ser>
          <c:idx val="9"/>
          <c:order val="9"/>
          <c:spPr>
            <a:ln w="28440">
              <a:solidFill>
                <a:srgbClr val="745994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9-F2B5-4F48-B976-C83A9236DECA}"/>
            </c:ext>
          </c:extLst>
        </c:ser>
        <c:ser>
          <c:idx val="10"/>
          <c:order val="10"/>
          <c:spPr>
            <a:ln w="28440">
              <a:solidFill>
                <a:srgbClr val="419FB7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A-F2B5-4F48-B976-C83A9236DECA}"/>
            </c:ext>
          </c:extLst>
        </c:ser>
        <c:ser>
          <c:idx val="11"/>
          <c:order val="11"/>
          <c:spPr>
            <a:ln w="28440">
              <a:solidFill>
                <a:srgbClr val="E5883B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B-F2B5-4F48-B976-C83A9236DECA}"/>
            </c:ext>
          </c:extLst>
        </c:ser>
        <c:ser>
          <c:idx val="12"/>
          <c:order val="12"/>
          <c:spPr>
            <a:ln w="28440">
              <a:solidFill>
                <a:srgbClr val="7997C4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C-F2B5-4F48-B976-C83A9236DECA}"/>
            </c:ext>
          </c:extLst>
        </c:ser>
        <c:ser>
          <c:idx val="13"/>
          <c:order val="13"/>
          <c:spPr>
            <a:ln w="28440">
              <a:solidFill>
                <a:srgbClr val="C77978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D-F2B5-4F48-B976-C83A9236DECA}"/>
            </c:ext>
          </c:extLst>
        </c:ser>
        <c:ser>
          <c:idx val="14"/>
          <c:order val="14"/>
          <c:spPr>
            <a:ln w="28440">
              <a:solidFill>
                <a:srgbClr val="A9C37E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E-F2B5-4F48-B976-C83A9236DECA}"/>
            </c:ext>
          </c:extLst>
        </c:ser>
        <c:ser>
          <c:idx val="15"/>
          <c:order val="15"/>
          <c:spPr>
            <a:ln w="28440">
              <a:solidFill>
                <a:srgbClr val="9684AF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F-F2B5-4F48-B976-C83A9236DECA}"/>
            </c:ext>
          </c:extLst>
        </c:ser>
        <c:ser>
          <c:idx val="16"/>
          <c:order val="16"/>
          <c:spPr>
            <a:ln w="28440">
              <a:solidFill>
                <a:srgbClr val="77B6CC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0-F2B5-4F48-B976-C83A9236DECA}"/>
            </c:ext>
          </c:extLst>
        </c:ser>
        <c:ser>
          <c:idx val="17"/>
          <c:order val="17"/>
          <c:spPr>
            <a:ln w="28440">
              <a:solidFill>
                <a:srgbClr val="F5A574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1-F2B5-4F48-B976-C83A9236DECA}"/>
            </c:ext>
          </c:extLst>
        </c:ser>
        <c:ser>
          <c:idx val="18"/>
          <c:order val="18"/>
          <c:spPr>
            <a:ln w="28440">
              <a:solidFill>
                <a:srgbClr val="B0BED7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2-F2B5-4F48-B976-C83A9236DECA}"/>
            </c:ext>
          </c:extLst>
        </c:ser>
        <c:ser>
          <c:idx val="19"/>
          <c:order val="19"/>
          <c:spPr>
            <a:ln w="28440">
              <a:solidFill>
                <a:srgbClr val="D9B0B0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3-F2B5-4F48-B976-C83A9236DECA}"/>
            </c:ext>
          </c:extLst>
        </c:ser>
        <c:ser>
          <c:idx val="20"/>
          <c:order val="20"/>
          <c:spPr>
            <a:ln w="28440">
              <a:solidFill>
                <a:srgbClr val="C7D6B1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4-F2B5-4F48-B976-C83A9236DECA}"/>
            </c:ext>
          </c:extLst>
        </c:ser>
        <c:ser>
          <c:idx val="21"/>
          <c:order val="21"/>
          <c:spPr>
            <a:ln w="28440">
              <a:solidFill>
                <a:srgbClr val="BDB4CB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5-F2B5-4F48-B976-C83A9236DECA}"/>
            </c:ext>
          </c:extLst>
        </c:ser>
        <c:ser>
          <c:idx val="22"/>
          <c:order val="22"/>
          <c:spPr>
            <a:ln w="28440">
              <a:solidFill>
                <a:srgbClr val="B0CFDC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6-F2B5-4F48-B976-C83A9236DECA}"/>
            </c:ext>
          </c:extLst>
        </c:ser>
        <c:ser>
          <c:idx val="23"/>
          <c:order val="23"/>
          <c:spPr>
            <a:ln w="28440">
              <a:solidFill>
                <a:srgbClr val="F6C4AE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17-F2B5-4F48-B976-C83A9236D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844655"/>
        <c:axId val="62093046"/>
      </c:lineChart>
      <c:catAx>
        <c:axId val="99844655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093046"/>
        <c:crosses val="autoZero"/>
        <c:auto val="1"/>
        <c:lblAlgn val="ctr"/>
        <c:lblOffset val="100"/>
        <c:noMultiLvlLbl val="0"/>
      </c:catAx>
      <c:valAx>
        <c:axId val="62093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9844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160560</xdr:rowOff>
    </xdr:from>
    <xdr:to>
      <xdr:col>4</xdr:col>
      <xdr:colOff>606600</xdr:colOff>
      <xdr:row>36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4</xdr:col>
      <xdr:colOff>606600</xdr:colOff>
      <xdr:row>51</xdr:row>
      <xdr:rowOff>13320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160560</xdr:rowOff>
    </xdr:from>
    <xdr:to>
      <xdr:col>4</xdr:col>
      <xdr:colOff>606600</xdr:colOff>
      <xdr:row>68</xdr:row>
      <xdr:rowOff>13320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13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2"/>
  <cols>
    <col min="1" max="1" width="24" customWidth="1"/>
    <col min="2" max="2" width="110" customWidth="1"/>
  </cols>
  <sheetData>
    <row r="1" spans="1:8" ht="18" x14ac:dyDescent="0.2">
      <c r="A1" s="5" t="s">
        <v>0</v>
      </c>
      <c r="B1" s="5"/>
      <c r="C1" s="5"/>
      <c r="D1" s="5"/>
      <c r="E1" s="5"/>
      <c r="F1" s="5"/>
      <c r="G1" s="5"/>
      <c r="H1" s="5"/>
    </row>
    <row r="3" spans="1:8" ht="32" x14ac:dyDescent="0.2">
      <c r="A3" s="6" t="s">
        <v>1</v>
      </c>
      <c r="B3" s="7" t="s">
        <v>2</v>
      </c>
    </row>
    <row r="5" spans="1:8" ht="32" x14ac:dyDescent="0.2">
      <c r="A5" s="6" t="s">
        <v>3</v>
      </c>
      <c r="B5" s="7" t="s">
        <v>4</v>
      </c>
    </row>
    <row r="7" spans="1:8" ht="32" x14ac:dyDescent="0.2">
      <c r="A7" s="6" t="s">
        <v>5</v>
      </c>
      <c r="B7" s="7" t="s">
        <v>6</v>
      </c>
    </row>
    <row r="9" spans="1:8" ht="32" x14ac:dyDescent="0.2">
      <c r="A9" s="6" t="s">
        <v>7</v>
      </c>
      <c r="B9" s="7" t="s">
        <v>8</v>
      </c>
    </row>
    <row r="11" spans="1:8" ht="16" x14ac:dyDescent="0.2">
      <c r="A11" s="6" t="s">
        <v>9</v>
      </c>
      <c r="B11" s="7" t="s">
        <v>10</v>
      </c>
    </row>
    <row r="13" spans="1:8" ht="32" x14ac:dyDescent="0.2">
      <c r="A13" s="6" t="s">
        <v>11</v>
      </c>
      <c r="B13" s="7" t="s"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F14"/>
  <sheetViews>
    <sheetView showGridLines="0" zoomScaleNormal="100" workbookViewId="0">
      <selection activeCell="B3" sqref="B3"/>
    </sheetView>
  </sheetViews>
  <sheetFormatPr baseColWidth="10" defaultColWidth="8.6640625" defaultRowHeight="15" customHeight="1" x14ac:dyDescent="0.2"/>
  <cols>
    <col min="1" max="1" width="30" customWidth="1"/>
    <col min="2" max="5" width="14" customWidth="1"/>
    <col min="6" max="6" width="12" customWidth="1"/>
  </cols>
  <sheetData>
    <row r="1" spans="1:6" ht="18" x14ac:dyDescent="0.2">
      <c r="A1" s="5" t="s">
        <v>13</v>
      </c>
      <c r="B1" s="5"/>
      <c r="C1" s="5"/>
      <c r="D1" s="5"/>
      <c r="E1" s="5"/>
      <c r="F1" s="5"/>
    </row>
    <row r="3" spans="1:6" x14ac:dyDescent="0.2">
      <c r="A3" s="6" t="s">
        <v>14</v>
      </c>
      <c r="B3" s="8" t="s">
        <v>15</v>
      </c>
    </row>
    <row r="4" spans="1:6" x14ac:dyDescent="0.2">
      <c r="A4" s="6" t="s">
        <v>16</v>
      </c>
      <c r="B4" t="s">
        <v>17</v>
      </c>
    </row>
    <row r="6" spans="1:6" x14ac:dyDescent="0.2">
      <c r="A6" s="4" t="s">
        <v>18</v>
      </c>
      <c r="B6" s="4"/>
      <c r="C6" s="4"/>
      <c r="D6" s="4"/>
      <c r="E6" s="4"/>
      <c r="F6" s="4"/>
    </row>
    <row r="7" spans="1:6" x14ac:dyDescent="0.2">
      <c r="A7" s="9" t="s">
        <v>19</v>
      </c>
      <c r="B7" s="9" t="s">
        <v>15</v>
      </c>
      <c r="C7" s="9" t="s">
        <v>20</v>
      </c>
      <c r="D7" s="9" t="s">
        <v>21</v>
      </c>
      <c r="E7" s="9" t="s">
        <v>22</v>
      </c>
      <c r="F7" s="9" t="s">
        <v>23</v>
      </c>
    </row>
    <row r="8" spans="1:6" x14ac:dyDescent="0.2">
      <c r="A8" t="s">
        <v>24</v>
      </c>
      <c r="B8" s="10">
        <v>1</v>
      </c>
      <c r="C8" s="10">
        <v>0.8</v>
      </c>
      <c r="D8" s="10">
        <v>1.1499999999999999</v>
      </c>
      <c r="E8" s="11">
        <f t="shared" ref="E8:E14" si="0">IF($B$3="Base Case",B8,IF($B$3="Downside Case",C8,D8))</f>
        <v>1</v>
      </c>
      <c r="F8" t="s">
        <v>25</v>
      </c>
    </row>
    <row r="9" spans="1:6" x14ac:dyDescent="0.2">
      <c r="A9" t="s">
        <v>26</v>
      </c>
      <c r="B9" s="12">
        <v>4.0000000000000001E-3</v>
      </c>
      <c r="C9" s="12">
        <v>1E-3</v>
      </c>
      <c r="D9" s="12">
        <v>6.0000000000000001E-3</v>
      </c>
      <c r="E9" s="13">
        <f t="shared" si="0"/>
        <v>4.0000000000000001E-3</v>
      </c>
      <c r="F9" t="s">
        <v>27</v>
      </c>
    </row>
    <row r="10" spans="1:6" x14ac:dyDescent="0.2">
      <c r="A10" t="s">
        <v>28</v>
      </c>
      <c r="B10" s="12">
        <v>0.02</v>
      </c>
      <c r="C10" s="12">
        <v>0.05</v>
      </c>
      <c r="D10" s="12">
        <v>0.01</v>
      </c>
      <c r="E10" s="13">
        <f t="shared" si="0"/>
        <v>0.02</v>
      </c>
      <c r="F10" t="s">
        <v>27</v>
      </c>
    </row>
    <row r="11" spans="1:6" x14ac:dyDescent="0.2">
      <c r="A11" t="s">
        <v>29</v>
      </c>
      <c r="B11" s="12">
        <v>0</v>
      </c>
      <c r="C11" s="12">
        <v>0.08</v>
      </c>
      <c r="D11" s="12">
        <v>-0.01</v>
      </c>
      <c r="E11" s="13">
        <f t="shared" si="0"/>
        <v>0</v>
      </c>
      <c r="F11" t="s">
        <v>27</v>
      </c>
    </row>
    <row r="12" spans="1:6" x14ac:dyDescent="0.2">
      <c r="A12" t="s">
        <v>30</v>
      </c>
      <c r="B12" s="14">
        <v>0</v>
      </c>
      <c r="C12" s="14">
        <v>3</v>
      </c>
      <c r="D12" s="14">
        <v>0</v>
      </c>
      <c r="E12" s="15">
        <f t="shared" si="0"/>
        <v>0</v>
      </c>
      <c r="F12" t="s">
        <v>31</v>
      </c>
    </row>
    <row r="13" spans="1:6" x14ac:dyDescent="0.2">
      <c r="A13" t="s">
        <v>32</v>
      </c>
      <c r="B13" s="12">
        <v>0</v>
      </c>
      <c r="C13" s="12">
        <v>0.01</v>
      </c>
      <c r="D13" s="12">
        <v>-5.0000000000000001E-3</v>
      </c>
      <c r="E13" s="13">
        <f t="shared" si="0"/>
        <v>0</v>
      </c>
      <c r="F13" t="s">
        <v>27</v>
      </c>
    </row>
    <row r="14" spans="1:6" x14ac:dyDescent="0.2">
      <c r="A14" t="s">
        <v>33</v>
      </c>
      <c r="B14" s="10">
        <v>1</v>
      </c>
      <c r="C14" s="10">
        <v>0.9</v>
      </c>
      <c r="D14" s="10">
        <v>1.08</v>
      </c>
      <c r="E14" s="11">
        <f t="shared" si="0"/>
        <v>1</v>
      </c>
      <c r="F14" t="s">
        <v>25</v>
      </c>
    </row>
  </sheetData>
  <mergeCells count="2">
    <mergeCell ref="A1:F1"/>
    <mergeCell ref="A6:F6"/>
  </mergeCells>
  <dataValidations count="1">
    <dataValidation type="list" sqref="B3" xr:uid="{00000000-0002-0000-0100-000000000000}">
      <formula1>"Base Case,Downside Case,Upside Case"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H33"/>
  <sheetViews>
    <sheetView showGridLines="0" zoomScaleNormal="100" workbookViewId="0">
      <selection sqref="A1:H1"/>
    </sheetView>
  </sheetViews>
  <sheetFormatPr baseColWidth="10" defaultColWidth="8.6640625" defaultRowHeight="15" customHeight="1" x14ac:dyDescent="0.2"/>
  <cols>
    <col min="1" max="1" width="35" customWidth="1"/>
    <col min="2" max="5" width="14" customWidth="1"/>
    <col min="6" max="6" width="10" customWidth="1"/>
    <col min="7" max="7" width="26" customWidth="1"/>
  </cols>
  <sheetData>
    <row r="1" spans="1:8" ht="18" x14ac:dyDescent="0.2">
      <c r="A1" s="5" t="s">
        <v>34</v>
      </c>
      <c r="B1" s="5"/>
      <c r="C1" s="5"/>
      <c r="D1" s="5"/>
      <c r="E1" s="5"/>
      <c r="F1" s="5"/>
      <c r="G1" s="5"/>
      <c r="H1" s="5"/>
    </row>
    <row r="3" spans="1:8" x14ac:dyDescent="0.2">
      <c r="A3" s="4" t="s">
        <v>35</v>
      </c>
      <c r="B3" s="4"/>
      <c r="C3" s="4"/>
      <c r="D3" s="4"/>
      <c r="E3" s="4"/>
      <c r="F3" s="4"/>
      <c r="G3" s="4"/>
      <c r="H3" s="4"/>
    </row>
    <row r="4" spans="1:8" x14ac:dyDescent="0.2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23</v>
      </c>
      <c r="G4" s="9" t="s">
        <v>41</v>
      </c>
      <c r="H4" s="9"/>
    </row>
    <row r="5" spans="1:8" x14ac:dyDescent="0.2">
      <c r="A5" t="s">
        <v>42</v>
      </c>
      <c r="B5" s="12">
        <v>2.5000000000000001E-2</v>
      </c>
      <c r="C5" s="12">
        <v>3.5000000000000003E-2</v>
      </c>
      <c r="D5" s="12">
        <v>0.02</v>
      </c>
      <c r="E5" s="13">
        <f>IF('Scenario Toggle'!$B$3="Base Case",B5,IF('Scenario Toggle'!$B$3="Downside Case",C5,D5))</f>
        <v>2.5000000000000001E-2</v>
      </c>
      <c r="F5" t="s">
        <v>27</v>
      </c>
      <c r="G5" t="s">
        <v>43</v>
      </c>
    </row>
    <row r="6" spans="1:8" x14ac:dyDescent="0.2">
      <c r="A6" t="s">
        <v>44</v>
      </c>
      <c r="B6" s="12">
        <v>0.03</v>
      </c>
      <c r="C6" s="12">
        <v>7.0000000000000007E-2</v>
      </c>
      <c r="D6" s="12">
        <v>0.02</v>
      </c>
      <c r="E6" s="13">
        <f>IF('Scenario Toggle'!$B$3="Base Case",B6,IF('Scenario Toggle'!$B$3="Downside Case",C6,D6))</f>
        <v>0.03</v>
      </c>
      <c r="F6" t="s">
        <v>27</v>
      </c>
      <c r="G6" t="s">
        <v>45</v>
      </c>
    </row>
    <row r="7" spans="1:8" x14ac:dyDescent="0.2">
      <c r="A7" t="s">
        <v>46</v>
      </c>
      <c r="B7" s="12">
        <v>6.5000000000000002E-2</v>
      </c>
      <c r="C7" s="12">
        <v>6.5000000000000002E-2</v>
      </c>
      <c r="D7" s="12">
        <v>6.5000000000000002E-2</v>
      </c>
      <c r="E7" s="13">
        <f>IF('Scenario Toggle'!$B$3="Base Case",B7,IF('Scenario Toggle'!$B$3="Downside Case",C7,D7))</f>
        <v>6.5000000000000002E-2</v>
      </c>
      <c r="F7" t="s">
        <v>27</v>
      </c>
      <c r="G7" t="s">
        <v>45</v>
      </c>
    </row>
    <row r="8" spans="1:8" x14ac:dyDescent="0.2">
      <c r="A8" t="s">
        <v>47</v>
      </c>
      <c r="B8" s="10">
        <v>3.6724999999999999</v>
      </c>
      <c r="C8" s="10">
        <v>3.6724999999999999</v>
      </c>
      <c r="D8" s="10">
        <v>3.6724999999999999</v>
      </c>
      <c r="E8" s="11">
        <f>IF('Scenario Toggle'!$B$3="Base Case",B8,IF('Scenario Toggle'!$B$3="Downside Case",C8,D8))</f>
        <v>3.6724999999999999</v>
      </c>
      <c r="F8" t="s">
        <v>25</v>
      </c>
      <c r="G8" t="s">
        <v>48</v>
      </c>
    </row>
    <row r="9" spans="1:8" x14ac:dyDescent="0.2">
      <c r="A9" t="s">
        <v>49</v>
      </c>
      <c r="B9" s="16">
        <v>75000000</v>
      </c>
      <c r="C9" s="16">
        <v>100000000</v>
      </c>
      <c r="D9" s="16">
        <v>75000000</v>
      </c>
      <c r="E9" s="17">
        <f>IF('Scenario Toggle'!$B$3="Base Case",B9,IF('Scenario Toggle'!$B$3="Downside Case",C9,D9))</f>
        <v>75000000</v>
      </c>
      <c r="F9" t="s">
        <v>50</v>
      </c>
      <c r="G9" t="s">
        <v>51</v>
      </c>
    </row>
    <row r="10" spans="1:8" x14ac:dyDescent="0.2">
      <c r="A10" t="s">
        <v>52</v>
      </c>
      <c r="B10" s="16">
        <v>250000000</v>
      </c>
      <c r="C10" s="16">
        <v>200000000</v>
      </c>
      <c r="D10" s="16">
        <v>300000000</v>
      </c>
      <c r="E10" s="17">
        <f>IF('Scenario Toggle'!$B$3="Base Case",B10,IF('Scenario Toggle'!$B$3="Downside Case",C10,D10))</f>
        <v>250000000</v>
      </c>
      <c r="F10" t="s">
        <v>50</v>
      </c>
      <c r="G10" t="s">
        <v>53</v>
      </c>
    </row>
    <row r="12" spans="1:8" x14ac:dyDescent="0.2">
      <c r="A12" s="4" t="s">
        <v>54</v>
      </c>
      <c r="B12" s="4"/>
      <c r="C12" s="4"/>
      <c r="D12" s="4"/>
      <c r="E12" s="4"/>
      <c r="F12" s="4"/>
      <c r="G12" s="4"/>
      <c r="H12" s="4"/>
    </row>
    <row r="13" spans="1:8" x14ac:dyDescent="0.2">
      <c r="A13" s="9" t="s">
        <v>36</v>
      </c>
      <c r="B13" s="9" t="s">
        <v>37</v>
      </c>
      <c r="C13" s="9" t="s">
        <v>38</v>
      </c>
      <c r="D13" s="9" t="s">
        <v>39</v>
      </c>
      <c r="E13" s="9" t="s">
        <v>40</v>
      </c>
      <c r="F13" s="9" t="s">
        <v>23</v>
      </c>
      <c r="G13" s="9" t="s">
        <v>41</v>
      </c>
      <c r="H13" s="9"/>
    </row>
    <row r="14" spans="1:8" x14ac:dyDescent="0.2">
      <c r="A14" t="s">
        <v>55</v>
      </c>
      <c r="B14" s="12">
        <v>0.2</v>
      </c>
      <c r="C14" s="12">
        <v>0.2</v>
      </c>
      <c r="D14" s="12">
        <v>0.2</v>
      </c>
      <c r="E14" s="18">
        <f>IF('Scenario Toggle'!$B$3="Base Case",B14,IF('Scenario Toggle'!$B$3="Downside Case",C14,D14))</f>
        <v>0.2</v>
      </c>
      <c r="F14" t="s">
        <v>27</v>
      </c>
      <c r="G14" t="s">
        <v>56</v>
      </c>
    </row>
    <row r="15" spans="1:8" x14ac:dyDescent="0.2">
      <c r="A15" t="s">
        <v>57</v>
      </c>
      <c r="B15" s="12">
        <v>0.2</v>
      </c>
      <c r="C15" s="12">
        <v>0.2</v>
      </c>
      <c r="D15" s="12">
        <v>0.2</v>
      </c>
      <c r="E15" s="18">
        <f>IF('Scenario Toggle'!$B$3="Base Case",B15,IF('Scenario Toggle'!$B$3="Downside Case",C15,D15))</f>
        <v>0.2</v>
      </c>
      <c r="F15" t="s">
        <v>27</v>
      </c>
      <c r="G15" t="s">
        <v>58</v>
      </c>
    </row>
    <row r="16" spans="1:8" x14ac:dyDescent="0.2">
      <c r="A16" t="s">
        <v>59</v>
      </c>
      <c r="B16" s="12">
        <v>0.2</v>
      </c>
      <c r="C16" s="12">
        <v>0.2</v>
      </c>
      <c r="D16" s="12">
        <v>0.2</v>
      </c>
      <c r="E16" s="18">
        <f>IF('Scenario Toggle'!$B$3="Base Case",B16,IF('Scenario Toggle'!$B$3="Downside Case",C16,D16))</f>
        <v>0.2</v>
      </c>
      <c r="F16" t="s">
        <v>27</v>
      </c>
      <c r="G16" t="s">
        <v>60</v>
      </c>
    </row>
    <row r="17" spans="1:8" x14ac:dyDescent="0.2">
      <c r="A17" t="s">
        <v>61</v>
      </c>
      <c r="B17" s="12">
        <v>0.2</v>
      </c>
      <c r="C17" s="12">
        <v>0.2</v>
      </c>
      <c r="D17" s="12">
        <v>0.2</v>
      </c>
      <c r="E17" s="18">
        <f>IF('Scenario Toggle'!$B$3="Base Case",B17,IF('Scenario Toggle'!$B$3="Downside Case",C17,D17))</f>
        <v>0.2</v>
      </c>
      <c r="F17" t="s">
        <v>27</v>
      </c>
      <c r="G17" t="s">
        <v>62</v>
      </c>
    </row>
    <row r="18" spans="1:8" x14ac:dyDescent="0.2">
      <c r="A18" t="s">
        <v>63</v>
      </c>
      <c r="B18" s="12">
        <v>0.2</v>
      </c>
      <c r="C18" s="12">
        <v>0.2</v>
      </c>
      <c r="D18" s="12">
        <v>0.2</v>
      </c>
      <c r="E18" s="18">
        <f>IF('Scenario Toggle'!$B$3="Base Case",B18,IF('Scenario Toggle'!$B$3="Downside Case",C18,D18))</f>
        <v>0.2</v>
      </c>
      <c r="F18" t="s">
        <v>27</v>
      </c>
      <c r="G18" t="s">
        <v>64</v>
      </c>
    </row>
    <row r="19" spans="1:8" x14ac:dyDescent="0.2">
      <c r="A19" t="s">
        <v>65</v>
      </c>
      <c r="B19" s="12">
        <v>0.03</v>
      </c>
      <c r="C19" s="12">
        <v>3.5000000000000003E-2</v>
      </c>
      <c r="D19" s="12">
        <v>2.8000000000000001E-2</v>
      </c>
      <c r="E19" s="18">
        <f>IF('Scenario Toggle'!$B$3="Base Case",B19,IF('Scenario Toggle'!$B$3="Downside Case",C19,D19))</f>
        <v>0.03</v>
      </c>
      <c r="F19" t="s">
        <v>27</v>
      </c>
      <c r="G19" t="s">
        <v>66</v>
      </c>
    </row>
    <row r="20" spans="1:8" x14ac:dyDescent="0.2">
      <c r="A20" t="s">
        <v>67</v>
      </c>
      <c r="B20" s="12">
        <v>0.03</v>
      </c>
      <c r="C20" s="12">
        <v>0.01</v>
      </c>
      <c r="D20" s="12">
        <v>0.04</v>
      </c>
      <c r="E20" s="18">
        <f>IF('Scenario Toggle'!$B$3="Base Case",B20,IF('Scenario Toggle'!$B$3="Downside Case",C20,D20))</f>
        <v>0.03</v>
      </c>
      <c r="F20" t="s">
        <v>27</v>
      </c>
      <c r="G20" t="s">
        <v>68</v>
      </c>
    </row>
    <row r="21" spans="1:8" x14ac:dyDescent="0.2">
      <c r="A21" t="s">
        <v>69</v>
      </c>
      <c r="B21" s="12">
        <v>0.04</v>
      </c>
      <c r="C21" s="12">
        <v>1.4999999999999999E-2</v>
      </c>
      <c r="D21" s="12">
        <v>0.05</v>
      </c>
      <c r="E21" s="18">
        <f>IF('Scenario Toggle'!$B$3="Base Case",B21,IF('Scenario Toggle'!$B$3="Downside Case",C21,D21))</f>
        <v>0.04</v>
      </c>
      <c r="F21" t="s">
        <v>27</v>
      </c>
      <c r="G21" t="s">
        <v>70</v>
      </c>
    </row>
    <row r="23" spans="1:8" x14ac:dyDescent="0.2">
      <c r="A23" s="4" t="s">
        <v>71</v>
      </c>
      <c r="B23" s="4"/>
      <c r="C23" s="4"/>
      <c r="D23" s="4"/>
      <c r="E23" s="4"/>
      <c r="F23" s="4"/>
      <c r="G23" s="4"/>
      <c r="H23" s="4"/>
    </row>
    <row r="24" spans="1:8" x14ac:dyDescent="0.2">
      <c r="A24" s="9" t="s">
        <v>36</v>
      </c>
      <c r="B24" s="9" t="s">
        <v>37</v>
      </c>
      <c r="C24" s="9" t="s">
        <v>38</v>
      </c>
      <c r="D24" s="9" t="s">
        <v>39</v>
      </c>
      <c r="E24" s="9" t="s">
        <v>40</v>
      </c>
      <c r="F24" s="9" t="s">
        <v>23</v>
      </c>
      <c r="G24" s="9" t="s">
        <v>41</v>
      </c>
      <c r="H24" s="9"/>
    </row>
    <row r="25" spans="1:8" x14ac:dyDescent="0.2">
      <c r="A25" t="s">
        <v>72</v>
      </c>
      <c r="B25" s="16">
        <v>2800000</v>
      </c>
      <c r="C25" s="16">
        <v>2800000</v>
      </c>
      <c r="D25" s="16">
        <v>2800000</v>
      </c>
      <c r="E25" s="19">
        <f>IF('Scenario Toggle'!$B$3="Base Case",B25,IF('Scenario Toggle'!$B$3="Downside Case",C25,D25))</f>
        <v>2800000</v>
      </c>
      <c r="F25" t="s">
        <v>50</v>
      </c>
      <c r="G25" t="s">
        <v>45</v>
      </c>
    </row>
    <row r="26" spans="1:8" x14ac:dyDescent="0.2">
      <c r="A26" t="s">
        <v>73</v>
      </c>
      <c r="B26" s="16">
        <v>5200000</v>
      </c>
      <c r="C26" s="16">
        <v>5200000</v>
      </c>
      <c r="D26" s="16">
        <v>5200000</v>
      </c>
      <c r="E26" s="19">
        <f>IF('Scenario Toggle'!$B$3="Base Case",B26,IF('Scenario Toggle'!$B$3="Downside Case",C26,D26))</f>
        <v>5200000</v>
      </c>
      <c r="F26" t="s">
        <v>50</v>
      </c>
      <c r="G26" t="s">
        <v>45</v>
      </c>
    </row>
    <row r="27" spans="1:8" x14ac:dyDescent="0.2">
      <c r="A27" t="s">
        <v>74</v>
      </c>
      <c r="B27" s="16">
        <v>650000</v>
      </c>
      <c r="C27" s="16">
        <v>650000</v>
      </c>
      <c r="D27" s="16">
        <v>650000</v>
      </c>
      <c r="E27" s="19">
        <f>IF('Scenario Toggle'!$B$3="Base Case",B27,IF('Scenario Toggle'!$B$3="Downside Case",C27,D27))</f>
        <v>650000</v>
      </c>
      <c r="F27" t="s">
        <v>50</v>
      </c>
      <c r="G27" t="s">
        <v>45</v>
      </c>
    </row>
    <row r="28" spans="1:8" x14ac:dyDescent="0.2">
      <c r="A28" t="s">
        <v>75</v>
      </c>
      <c r="B28" s="16">
        <v>350000</v>
      </c>
      <c r="C28" s="16">
        <v>350000</v>
      </c>
      <c r="D28" s="16">
        <v>350000</v>
      </c>
      <c r="E28" s="19">
        <f>IF('Scenario Toggle'!$B$3="Base Case",B28,IF('Scenario Toggle'!$B$3="Downside Case",C28,D28))</f>
        <v>350000</v>
      </c>
      <c r="F28" t="s">
        <v>50</v>
      </c>
      <c r="G28" t="s">
        <v>45</v>
      </c>
    </row>
    <row r="29" spans="1:8" x14ac:dyDescent="0.2">
      <c r="A29" t="s">
        <v>76</v>
      </c>
      <c r="B29" s="16">
        <v>900000</v>
      </c>
      <c r="C29" s="16">
        <v>1100000</v>
      </c>
      <c r="D29" s="16">
        <v>850000</v>
      </c>
      <c r="E29" s="19">
        <f>IF('Scenario Toggle'!$B$3="Base Case",B29,IF('Scenario Toggle'!$B$3="Downside Case",C29,D29))</f>
        <v>900000</v>
      </c>
      <c r="F29" t="s">
        <v>50</v>
      </c>
      <c r="G29" t="s">
        <v>45</v>
      </c>
    </row>
    <row r="30" spans="1:8" x14ac:dyDescent="0.2">
      <c r="A30" t="s">
        <v>77</v>
      </c>
      <c r="B30" s="16">
        <v>450000</v>
      </c>
      <c r="C30" s="16">
        <v>500000</v>
      </c>
      <c r="D30" s="16">
        <v>450000</v>
      </c>
      <c r="E30" s="19">
        <f>IF('Scenario Toggle'!$B$3="Base Case",B30,IF('Scenario Toggle'!$B$3="Downside Case",C30,D30))</f>
        <v>450000</v>
      </c>
      <c r="F30" t="s">
        <v>50</v>
      </c>
      <c r="G30" t="s">
        <v>45</v>
      </c>
    </row>
    <row r="31" spans="1:8" x14ac:dyDescent="0.2">
      <c r="A31" t="s">
        <v>78</v>
      </c>
      <c r="B31" s="16">
        <v>750000</v>
      </c>
      <c r="C31" s="16">
        <v>800000</v>
      </c>
      <c r="D31" s="16">
        <v>700000</v>
      </c>
      <c r="E31" s="19">
        <f>IF('Scenario Toggle'!$B$3="Base Case",B31,IF('Scenario Toggle'!$B$3="Downside Case",C31,D31))</f>
        <v>750000</v>
      </c>
      <c r="F31" t="s">
        <v>50</v>
      </c>
      <c r="G31" t="s">
        <v>45</v>
      </c>
    </row>
    <row r="32" spans="1:8" x14ac:dyDescent="0.2">
      <c r="A32" t="s">
        <v>79</v>
      </c>
      <c r="B32" s="12">
        <v>0.05</v>
      </c>
      <c r="C32" s="12">
        <v>0.06</v>
      </c>
      <c r="D32" s="12">
        <v>4.4999999999999998E-2</v>
      </c>
      <c r="E32" s="18">
        <f>IF('Scenario Toggle'!$B$3="Base Case",B32,IF('Scenario Toggle'!$B$3="Downside Case",C32,D32))</f>
        <v>0.05</v>
      </c>
      <c r="F32" t="s">
        <v>27</v>
      </c>
      <c r="G32" t="s">
        <v>80</v>
      </c>
    </row>
    <row r="33" spans="1:7" x14ac:dyDescent="0.2">
      <c r="A33" t="s">
        <v>81</v>
      </c>
      <c r="B33" s="12">
        <v>0.03</v>
      </c>
      <c r="C33" s="12">
        <v>0.05</v>
      </c>
      <c r="D33" s="12">
        <v>2.5000000000000001E-2</v>
      </c>
      <c r="E33" s="18">
        <f>IF('Scenario Toggle'!$B$3="Base Case",B33,IF('Scenario Toggle'!$B$3="Downside Case",C33,D33))</f>
        <v>0.03</v>
      </c>
      <c r="F33" t="s">
        <v>27</v>
      </c>
      <c r="G33" t="s">
        <v>80</v>
      </c>
    </row>
  </sheetData>
  <mergeCells count="4">
    <mergeCell ref="A1:H1"/>
    <mergeCell ref="A3:H3"/>
    <mergeCell ref="A12:H12"/>
    <mergeCell ref="A23:H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L9"/>
  <sheetViews>
    <sheetView showGridLines="0" zoomScaleNormal="100" workbookViewId="0">
      <selection sqref="A1:L1"/>
    </sheetView>
  </sheetViews>
  <sheetFormatPr baseColWidth="10" defaultColWidth="8.6640625" defaultRowHeight="15" customHeight="1" x14ac:dyDescent="0.2"/>
  <cols>
    <col min="1" max="1" width="28" customWidth="1"/>
    <col min="2" max="2" width="18" customWidth="1"/>
    <col min="3" max="12" width="16" customWidth="1"/>
  </cols>
  <sheetData>
    <row r="1" spans="1:12" ht="18" x14ac:dyDescent="0.2">
      <c r="A1" s="5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x14ac:dyDescent="0.2">
      <c r="A3" s="9" t="s">
        <v>83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93</v>
      </c>
      <c r="L3" s="9" t="s">
        <v>94</v>
      </c>
    </row>
    <row r="4" spans="1:12" x14ac:dyDescent="0.2">
      <c r="A4" s="20" t="s">
        <v>95</v>
      </c>
      <c r="B4" s="20" t="s">
        <v>96</v>
      </c>
      <c r="C4" s="21">
        <v>180</v>
      </c>
      <c r="D4" s="22">
        <v>46113</v>
      </c>
      <c r="E4" s="22">
        <v>46631</v>
      </c>
      <c r="F4" s="23">
        <v>900000000</v>
      </c>
      <c r="G4" s="21">
        <v>5000</v>
      </c>
      <c r="H4" s="23">
        <v>3200</v>
      </c>
      <c r="I4" s="24">
        <v>0.15</v>
      </c>
      <c r="J4" s="23">
        <v>120000000</v>
      </c>
      <c r="K4" s="23">
        <v>220000000</v>
      </c>
      <c r="L4" s="23">
        <v>180000000</v>
      </c>
    </row>
    <row r="5" spans="1:12" x14ac:dyDescent="0.2">
      <c r="A5" s="20" t="s">
        <v>97</v>
      </c>
      <c r="B5" s="20" t="s">
        <v>98</v>
      </c>
      <c r="C5" s="21">
        <v>60</v>
      </c>
      <c r="D5" s="22">
        <v>46143</v>
      </c>
      <c r="E5" s="22">
        <v>46722</v>
      </c>
      <c r="F5" s="23">
        <v>650000000</v>
      </c>
      <c r="G5" s="21">
        <v>7800</v>
      </c>
      <c r="H5" s="23">
        <v>4500</v>
      </c>
      <c r="I5" s="24">
        <v>0.18</v>
      </c>
      <c r="J5" s="23">
        <v>80000000</v>
      </c>
      <c r="K5" s="23">
        <v>140000000</v>
      </c>
      <c r="L5" s="23">
        <v>160000000</v>
      </c>
    </row>
    <row r="6" spans="1:12" x14ac:dyDescent="0.2">
      <c r="A6" s="20" t="s">
        <v>99</v>
      </c>
      <c r="B6" s="20" t="s">
        <v>100</v>
      </c>
      <c r="C6" s="21">
        <v>220</v>
      </c>
      <c r="D6" s="22">
        <v>46204</v>
      </c>
      <c r="E6" s="22">
        <v>46813</v>
      </c>
      <c r="F6" s="23">
        <v>1100000000</v>
      </c>
      <c r="G6" s="21">
        <v>4200</v>
      </c>
      <c r="H6" s="23">
        <v>2900</v>
      </c>
      <c r="I6" s="24">
        <v>0.14000000000000001</v>
      </c>
      <c r="J6" s="23">
        <v>150000000</v>
      </c>
      <c r="K6" s="23">
        <v>260000000</v>
      </c>
      <c r="L6" s="23">
        <v>220000000</v>
      </c>
    </row>
    <row r="7" spans="1:12" x14ac:dyDescent="0.2">
      <c r="A7" s="20" t="s">
        <v>101</v>
      </c>
      <c r="B7" s="20" t="s">
        <v>102</v>
      </c>
      <c r="C7" s="21">
        <v>140</v>
      </c>
      <c r="D7" s="22">
        <v>46174</v>
      </c>
      <c r="E7" s="22">
        <v>46784</v>
      </c>
      <c r="F7" s="23">
        <v>850000000</v>
      </c>
      <c r="G7" s="21">
        <v>3900</v>
      </c>
      <c r="H7" s="23">
        <v>2600</v>
      </c>
      <c r="I7" s="24">
        <v>0.12</v>
      </c>
      <c r="J7" s="23">
        <v>100000000</v>
      </c>
      <c r="K7" s="23">
        <v>180000000</v>
      </c>
      <c r="L7" s="23">
        <v>200000000</v>
      </c>
    </row>
    <row r="9" spans="1:12" x14ac:dyDescent="0.2">
      <c r="A9" s="25" t="s">
        <v>103</v>
      </c>
      <c r="B9" s="25"/>
      <c r="C9" s="26">
        <f>SUM(C4:C8)</f>
        <v>600</v>
      </c>
      <c r="D9" s="25"/>
      <c r="E9" s="25"/>
      <c r="F9" s="27">
        <f>SUM(F4:F8)</f>
        <v>3500000000</v>
      </c>
      <c r="G9" s="26">
        <f>SUM(G4:G8)</f>
        <v>20900</v>
      </c>
      <c r="H9" s="27">
        <f>SUM(H4:H8)</f>
        <v>13200</v>
      </c>
      <c r="I9" s="28">
        <f>AVERAGE(I4:I8)</f>
        <v>0.14749999999999999</v>
      </c>
      <c r="J9" s="27">
        <f>SUM(J4:J8)</f>
        <v>450000000</v>
      </c>
      <c r="K9" s="27">
        <f>SUM(K4:K8)</f>
        <v>800000000</v>
      </c>
      <c r="L9" s="27">
        <f>SUM(L4:L8)</f>
        <v>760000000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AD3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D1"/>
    </sheetView>
  </sheetViews>
  <sheetFormatPr baseColWidth="10" defaultColWidth="8.6640625" defaultRowHeight="15" customHeight="1" x14ac:dyDescent="0.2"/>
  <cols>
    <col min="1" max="1" width="28" customWidth="1"/>
    <col min="2" max="2" width="24" customWidth="1"/>
    <col min="3" max="26" width="13" customWidth="1"/>
  </cols>
  <sheetData>
    <row r="1" spans="1:30" ht="18" x14ac:dyDescent="0.2">
      <c r="A1" s="5" t="s">
        <v>104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x14ac:dyDescent="0.2">
      <c r="A3" s="9" t="s">
        <v>105</v>
      </c>
      <c r="B3" s="9" t="s">
        <v>106</v>
      </c>
      <c r="C3" s="29">
        <v>46113</v>
      </c>
      <c r="D3" s="29">
        <v>46143</v>
      </c>
      <c r="E3" s="29">
        <v>46174</v>
      </c>
      <c r="F3" s="29">
        <v>46204</v>
      </c>
      <c r="G3" s="29">
        <v>46235</v>
      </c>
      <c r="H3" s="29">
        <v>46266</v>
      </c>
      <c r="I3" s="29">
        <v>46296</v>
      </c>
      <c r="J3" s="29">
        <v>46327</v>
      </c>
      <c r="K3" s="29">
        <v>46357</v>
      </c>
      <c r="L3" s="29">
        <v>46388</v>
      </c>
      <c r="M3" s="29">
        <v>46419</v>
      </c>
      <c r="N3" s="29">
        <v>46447</v>
      </c>
      <c r="O3" s="29">
        <v>46478</v>
      </c>
      <c r="P3" s="29">
        <v>46508</v>
      </c>
      <c r="Q3" s="29">
        <v>46539</v>
      </c>
      <c r="R3" s="29">
        <v>46569</v>
      </c>
      <c r="S3" s="29">
        <v>46600</v>
      </c>
      <c r="T3" s="29">
        <v>46631</v>
      </c>
      <c r="U3" s="29">
        <v>46661</v>
      </c>
      <c r="V3" s="29">
        <v>46692</v>
      </c>
      <c r="W3" s="29">
        <v>46722</v>
      </c>
      <c r="X3" s="29">
        <v>46753</v>
      </c>
      <c r="Y3" s="29">
        <v>46784</v>
      </c>
      <c r="Z3" s="29">
        <v>46813</v>
      </c>
    </row>
    <row r="4" spans="1:30" x14ac:dyDescent="0.2">
      <c r="A4" s="30" t="s">
        <v>95</v>
      </c>
      <c r="B4" s="30" t="s">
        <v>107</v>
      </c>
      <c r="C4" s="31">
        <f>'Project Database'!$C$4</f>
        <v>180</v>
      </c>
      <c r="D4" s="30">
        <f t="shared" ref="D4:Z4" si="0">C4-C7</f>
        <v>170.2</v>
      </c>
      <c r="E4" s="30">
        <f t="shared" si="0"/>
        <v>160.39999999999998</v>
      </c>
      <c r="F4" s="30">
        <f t="shared" si="0"/>
        <v>150.59999999999997</v>
      </c>
      <c r="G4" s="30">
        <f t="shared" si="0"/>
        <v>140.79999999999995</v>
      </c>
      <c r="H4" s="30">
        <f t="shared" si="0"/>
        <v>130.99999999999994</v>
      </c>
      <c r="I4" s="30">
        <f t="shared" si="0"/>
        <v>121.19999999999995</v>
      </c>
      <c r="J4" s="30">
        <f t="shared" si="0"/>
        <v>111.39999999999995</v>
      </c>
      <c r="K4" s="30">
        <f t="shared" si="0"/>
        <v>101.59999999999995</v>
      </c>
      <c r="L4" s="30">
        <f t="shared" si="0"/>
        <v>91.799999999999955</v>
      </c>
      <c r="M4" s="30">
        <f t="shared" si="0"/>
        <v>81.999999999999957</v>
      </c>
      <c r="N4" s="30">
        <f t="shared" si="0"/>
        <v>72.19999999999996</v>
      </c>
      <c r="O4" s="30">
        <f t="shared" si="0"/>
        <v>62.399999999999963</v>
      </c>
      <c r="P4" s="30">
        <f t="shared" si="0"/>
        <v>52.599999999999966</v>
      </c>
      <c r="Q4" s="30">
        <f t="shared" si="0"/>
        <v>42.799999999999969</v>
      </c>
      <c r="R4" s="30">
        <f t="shared" si="0"/>
        <v>32.999999999999972</v>
      </c>
      <c r="S4" s="30">
        <f t="shared" si="0"/>
        <v>23.199999999999971</v>
      </c>
      <c r="T4" s="30">
        <f t="shared" si="0"/>
        <v>13.39999999999997</v>
      </c>
      <c r="U4" s="30">
        <f t="shared" si="0"/>
        <v>3.5999999999999694</v>
      </c>
      <c r="V4" s="30">
        <f t="shared" si="0"/>
        <v>3.5999999999999694</v>
      </c>
      <c r="W4" s="30">
        <f t="shared" si="0"/>
        <v>3.5999999999999694</v>
      </c>
      <c r="X4" s="30">
        <f t="shared" si="0"/>
        <v>3.5999999999999694</v>
      </c>
      <c r="Y4" s="30">
        <f t="shared" si="0"/>
        <v>3.5999999999999694</v>
      </c>
      <c r="Z4" s="30">
        <f t="shared" si="0"/>
        <v>3.5999999999999694</v>
      </c>
    </row>
    <row r="5" spans="1:30" x14ac:dyDescent="0.2">
      <c r="A5" s="32"/>
      <c r="B5" s="33" t="s">
        <v>108</v>
      </c>
      <c r="C5" s="34">
        <f>IF(AND(C$3&gt;='Project Database'!$D$4,C$3&lt;=EDATE('Project Database'!$E$4,ROUND('Scenario Toggle'!$E$12,0))),MIN(ROUND('Project Database'!$C$4/MAX(1,DATEDIF('Project Database'!$D$4,EDATE('Project Database'!$E$4,ROUND('Scenario Toggle'!$E$12,0)),"m")+1)*'Scenario Toggle'!$E$8,0),C4),0)</f>
        <v>10</v>
      </c>
      <c r="D5" s="34">
        <f>IF(AND(D$3&gt;='Project Database'!$D$4,D$3&lt;=EDATE('Project Database'!$E$4,ROUND('Scenario Toggle'!$E$12,0))),MIN(ROUND('Project Database'!$C$4/MAX(1,DATEDIF('Project Database'!$D$4,EDATE('Project Database'!$E$4,ROUND('Scenario Toggle'!$E$12,0)),"m")+1)*'Scenario Toggle'!$E$8,0),D4),0)</f>
        <v>10</v>
      </c>
      <c r="E5" s="34">
        <f>IF(AND(E$3&gt;='Project Database'!$D$4,E$3&lt;=EDATE('Project Database'!$E$4,ROUND('Scenario Toggle'!$E$12,0))),MIN(ROUND('Project Database'!$C$4/MAX(1,DATEDIF('Project Database'!$D$4,EDATE('Project Database'!$E$4,ROUND('Scenario Toggle'!$E$12,0)),"m")+1)*'Scenario Toggle'!$E$8,0),E4),0)</f>
        <v>10</v>
      </c>
      <c r="F5" s="34">
        <f>IF(AND(F$3&gt;='Project Database'!$D$4,F$3&lt;=EDATE('Project Database'!$E$4,ROUND('Scenario Toggle'!$E$12,0))),MIN(ROUND('Project Database'!$C$4/MAX(1,DATEDIF('Project Database'!$D$4,EDATE('Project Database'!$E$4,ROUND('Scenario Toggle'!$E$12,0)),"m")+1)*'Scenario Toggle'!$E$8,0),F4),0)</f>
        <v>10</v>
      </c>
      <c r="G5" s="34">
        <f>IF(AND(G$3&gt;='Project Database'!$D$4,G$3&lt;=EDATE('Project Database'!$E$4,ROUND('Scenario Toggle'!$E$12,0))),MIN(ROUND('Project Database'!$C$4/MAX(1,DATEDIF('Project Database'!$D$4,EDATE('Project Database'!$E$4,ROUND('Scenario Toggle'!$E$12,0)),"m")+1)*'Scenario Toggle'!$E$8,0),G4),0)</f>
        <v>10</v>
      </c>
      <c r="H5" s="34">
        <f>IF(AND(H$3&gt;='Project Database'!$D$4,H$3&lt;=EDATE('Project Database'!$E$4,ROUND('Scenario Toggle'!$E$12,0))),MIN(ROUND('Project Database'!$C$4/MAX(1,DATEDIF('Project Database'!$D$4,EDATE('Project Database'!$E$4,ROUND('Scenario Toggle'!$E$12,0)),"m")+1)*'Scenario Toggle'!$E$8,0),H4),0)</f>
        <v>10</v>
      </c>
      <c r="I5" s="34">
        <f>IF(AND(I$3&gt;='Project Database'!$D$4,I$3&lt;=EDATE('Project Database'!$E$4,ROUND('Scenario Toggle'!$E$12,0))),MIN(ROUND('Project Database'!$C$4/MAX(1,DATEDIF('Project Database'!$D$4,EDATE('Project Database'!$E$4,ROUND('Scenario Toggle'!$E$12,0)),"m")+1)*'Scenario Toggle'!$E$8,0),I4),0)</f>
        <v>10</v>
      </c>
      <c r="J5" s="34">
        <f>IF(AND(J$3&gt;='Project Database'!$D$4,J$3&lt;=EDATE('Project Database'!$E$4,ROUND('Scenario Toggle'!$E$12,0))),MIN(ROUND('Project Database'!$C$4/MAX(1,DATEDIF('Project Database'!$D$4,EDATE('Project Database'!$E$4,ROUND('Scenario Toggle'!$E$12,0)),"m")+1)*'Scenario Toggle'!$E$8,0),J4),0)</f>
        <v>10</v>
      </c>
      <c r="K5" s="34">
        <f>IF(AND(K$3&gt;='Project Database'!$D$4,K$3&lt;=EDATE('Project Database'!$E$4,ROUND('Scenario Toggle'!$E$12,0))),MIN(ROUND('Project Database'!$C$4/MAX(1,DATEDIF('Project Database'!$D$4,EDATE('Project Database'!$E$4,ROUND('Scenario Toggle'!$E$12,0)),"m")+1)*'Scenario Toggle'!$E$8,0),K4),0)</f>
        <v>10</v>
      </c>
      <c r="L5" s="34">
        <f>IF(AND(L$3&gt;='Project Database'!$D$4,L$3&lt;=EDATE('Project Database'!$E$4,ROUND('Scenario Toggle'!$E$12,0))),MIN(ROUND('Project Database'!$C$4/MAX(1,DATEDIF('Project Database'!$D$4,EDATE('Project Database'!$E$4,ROUND('Scenario Toggle'!$E$12,0)),"m")+1)*'Scenario Toggle'!$E$8,0),L4),0)</f>
        <v>10</v>
      </c>
      <c r="M5" s="34">
        <f>IF(AND(M$3&gt;='Project Database'!$D$4,M$3&lt;=EDATE('Project Database'!$E$4,ROUND('Scenario Toggle'!$E$12,0))),MIN(ROUND('Project Database'!$C$4/MAX(1,DATEDIF('Project Database'!$D$4,EDATE('Project Database'!$E$4,ROUND('Scenario Toggle'!$E$12,0)),"m")+1)*'Scenario Toggle'!$E$8,0),M4),0)</f>
        <v>10</v>
      </c>
      <c r="N5" s="34">
        <f>IF(AND(N$3&gt;='Project Database'!$D$4,N$3&lt;=EDATE('Project Database'!$E$4,ROUND('Scenario Toggle'!$E$12,0))),MIN(ROUND('Project Database'!$C$4/MAX(1,DATEDIF('Project Database'!$D$4,EDATE('Project Database'!$E$4,ROUND('Scenario Toggle'!$E$12,0)),"m")+1)*'Scenario Toggle'!$E$8,0),N4),0)</f>
        <v>10</v>
      </c>
      <c r="O5" s="34">
        <f>IF(AND(O$3&gt;='Project Database'!$D$4,O$3&lt;=EDATE('Project Database'!$E$4,ROUND('Scenario Toggle'!$E$12,0))),MIN(ROUND('Project Database'!$C$4/MAX(1,DATEDIF('Project Database'!$D$4,EDATE('Project Database'!$E$4,ROUND('Scenario Toggle'!$E$12,0)),"m")+1)*'Scenario Toggle'!$E$8,0),O4),0)</f>
        <v>10</v>
      </c>
      <c r="P5" s="34">
        <f>IF(AND(P$3&gt;='Project Database'!$D$4,P$3&lt;=EDATE('Project Database'!$E$4,ROUND('Scenario Toggle'!$E$12,0))),MIN(ROUND('Project Database'!$C$4/MAX(1,DATEDIF('Project Database'!$D$4,EDATE('Project Database'!$E$4,ROUND('Scenario Toggle'!$E$12,0)),"m")+1)*'Scenario Toggle'!$E$8,0),P4),0)</f>
        <v>10</v>
      </c>
      <c r="Q5" s="34">
        <f>IF(AND(Q$3&gt;='Project Database'!$D$4,Q$3&lt;=EDATE('Project Database'!$E$4,ROUND('Scenario Toggle'!$E$12,0))),MIN(ROUND('Project Database'!$C$4/MAX(1,DATEDIF('Project Database'!$D$4,EDATE('Project Database'!$E$4,ROUND('Scenario Toggle'!$E$12,0)),"m")+1)*'Scenario Toggle'!$E$8,0),Q4),0)</f>
        <v>10</v>
      </c>
      <c r="R5" s="34">
        <f>IF(AND(R$3&gt;='Project Database'!$D$4,R$3&lt;=EDATE('Project Database'!$E$4,ROUND('Scenario Toggle'!$E$12,0))),MIN(ROUND('Project Database'!$C$4/MAX(1,DATEDIF('Project Database'!$D$4,EDATE('Project Database'!$E$4,ROUND('Scenario Toggle'!$E$12,0)),"m")+1)*'Scenario Toggle'!$E$8,0),R4),0)</f>
        <v>10</v>
      </c>
      <c r="S5" s="34">
        <f>IF(AND(S$3&gt;='Project Database'!$D$4,S$3&lt;=EDATE('Project Database'!$E$4,ROUND('Scenario Toggle'!$E$12,0))),MIN(ROUND('Project Database'!$C$4/MAX(1,DATEDIF('Project Database'!$D$4,EDATE('Project Database'!$E$4,ROUND('Scenario Toggle'!$E$12,0)),"m")+1)*'Scenario Toggle'!$E$8,0),S4),0)</f>
        <v>10</v>
      </c>
      <c r="T5" s="34">
        <f>IF(AND(T$3&gt;='Project Database'!$D$4,T$3&lt;=EDATE('Project Database'!$E$4,ROUND('Scenario Toggle'!$E$12,0))),MIN(ROUND('Project Database'!$C$4/MAX(1,DATEDIF('Project Database'!$D$4,EDATE('Project Database'!$E$4,ROUND('Scenario Toggle'!$E$12,0)),"m")+1)*'Scenario Toggle'!$E$8,0),T4),0)</f>
        <v>10</v>
      </c>
      <c r="U5" s="34">
        <f>IF(AND(U$3&gt;='Project Database'!$D$4,U$3&lt;=EDATE('Project Database'!$E$4,ROUND('Scenario Toggle'!$E$12,0))),MIN(ROUND('Project Database'!$C$4/MAX(1,DATEDIF('Project Database'!$D$4,EDATE('Project Database'!$E$4,ROUND('Scenario Toggle'!$E$12,0)),"m")+1)*'Scenario Toggle'!$E$8,0),U4),0)</f>
        <v>0</v>
      </c>
      <c r="V5" s="34">
        <f>IF(AND(V$3&gt;='Project Database'!$D$4,V$3&lt;=EDATE('Project Database'!$E$4,ROUND('Scenario Toggle'!$E$12,0))),MIN(ROUND('Project Database'!$C$4/MAX(1,DATEDIF('Project Database'!$D$4,EDATE('Project Database'!$E$4,ROUND('Scenario Toggle'!$E$12,0)),"m")+1)*'Scenario Toggle'!$E$8,0),V4),0)</f>
        <v>0</v>
      </c>
      <c r="W5" s="34">
        <f>IF(AND(W$3&gt;='Project Database'!$D$4,W$3&lt;=EDATE('Project Database'!$E$4,ROUND('Scenario Toggle'!$E$12,0))),MIN(ROUND('Project Database'!$C$4/MAX(1,DATEDIF('Project Database'!$D$4,EDATE('Project Database'!$E$4,ROUND('Scenario Toggle'!$E$12,0)),"m")+1)*'Scenario Toggle'!$E$8,0),W4),0)</f>
        <v>0</v>
      </c>
      <c r="X5" s="34">
        <f>IF(AND(X$3&gt;='Project Database'!$D$4,X$3&lt;=EDATE('Project Database'!$E$4,ROUND('Scenario Toggle'!$E$12,0))),MIN(ROUND('Project Database'!$C$4/MAX(1,DATEDIF('Project Database'!$D$4,EDATE('Project Database'!$E$4,ROUND('Scenario Toggle'!$E$12,0)),"m")+1)*'Scenario Toggle'!$E$8,0),X4),0)</f>
        <v>0</v>
      </c>
      <c r="Y5" s="34">
        <f>IF(AND(Y$3&gt;='Project Database'!$D$4,Y$3&lt;=EDATE('Project Database'!$E$4,ROUND('Scenario Toggle'!$E$12,0))),MIN(ROUND('Project Database'!$C$4/MAX(1,DATEDIF('Project Database'!$D$4,EDATE('Project Database'!$E$4,ROUND('Scenario Toggle'!$E$12,0)),"m")+1)*'Scenario Toggle'!$E$8,0),Y4),0)</f>
        <v>0</v>
      </c>
      <c r="Z5" s="34">
        <f>IF(AND(Z$3&gt;='Project Database'!$D$4,Z$3&lt;=EDATE('Project Database'!$E$4,ROUND('Scenario Toggle'!$E$12,0))),MIN(ROUND('Project Database'!$C$4/MAX(1,DATEDIF('Project Database'!$D$4,EDATE('Project Database'!$E$4,ROUND('Scenario Toggle'!$E$12,0)),"m")+1)*'Scenario Toggle'!$E$8,0),Z4),0)</f>
        <v>0</v>
      </c>
    </row>
    <row r="6" spans="1:30" x14ac:dyDescent="0.2">
      <c r="A6" s="32"/>
      <c r="B6" s="33" t="s">
        <v>109</v>
      </c>
      <c r="C6" s="35">
        <f>C5*'Scenario Toggle'!$E$10</f>
        <v>0.2</v>
      </c>
      <c r="D6" s="35">
        <f>D5*'Scenario Toggle'!$E$10</f>
        <v>0.2</v>
      </c>
      <c r="E6" s="35">
        <f>E5*'Scenario Toggle'!$E$10</f>
        <v>0.2</v>
      </c>
      <c r="F6" s="35">
        <f>F5*'Scenario Toggle'!$E$10</f>
        <v>0.2</v>
      </c>
      <c r="G6" s="35">
        <f>G5*'Scenario Toggle'!$E$10</f>
        <v>0.2</v>
      </c>
      <c r="H6" s="35">
        <f>H5*'Scenario Toggle'!$E$10</f>
        <v>0.2</v>
      </c>
      <c r="I6" s="35">
        <f>I5*'Scenario Toggle'!$E$10</f>
        <v>0.2</v>
      </c>
      <c r="J6" s="35">
        <f>J5*'Scenario Toggle'!$E$10</f>
        <v>0.2</v>
      </c>
      <c r="K6" s="35">
        <f>K5*'Scenario Toggle'!$E$10</f>
        <v>0.2</v>
      </c>
      <c r="L6" s="35">
        <f>L5*'Scenario Toggle'!$E$10</f>
        <v>0.2</v>
      </c>
      <c r="M6" s="35">
        <f>M5*'Scenario Toggle'!$E$10</f>
        <v>0.2</v>
      </c>
      <c r="N6" s="35">
        <f>N5*'Scenario Toggle'!$E$10</f>
        <v>0.2</v>
      </c>
      <c r="O6" s="35">
        <f>O5*'Scenario Toggle'!$E$10</f>
        <v>0.2</v>
      </c>
      <c r="P6" s="35">
        <f>P5*'Scenario Toggle'!$E$10</f>
        <v>0.2</v>
      </c>
      <c r="Q6" s="35">
        <f>Q5*'Scenario Toggle'!$E$10</f>
        <v>0.2</v>
      </c>
      <c r="R6" s="35">
        <f>R5*'Scenario Toggle'!$E$10</f>
        <v>0.2</v>
      </c>
      <c r="S6" s="35">
        <f>S5*'Scenario Toggle'!$E$10</f>
        <v>0.2</v>
      </c>
      <c r="T6" s="35">
        <f>T5*'Scenario Toggle'!$E$10</f>
        <v>0.2</v>
      </c>
      <c r="U6" s="35">
        <f>U5*'Scenario Toggle'!$E$10</f>
        <v>0</v>
      </c>
      <c r="V6" s="35">
        <f>V5*'Scenario Toggle'!$E$10</f>
        <v>0</v>
      </c>
      <c r="W6" s="35">
        <f>W5*'Scenario Toggle'!$E$10</f>
        <v>0</v>
      </c>
      <c r="X6" s="35">
        <f>X5*'Scenario Toggle'!$E$10</f>
        <v>0</v>
      </c>
      <c r="Y6" s="35">
        <f>Y5*'Scenario Toggle'!$E$10</f>
        <v>0</v>
      </c>
      <c r="Z6" s="35">
        <f>Z5*'Scenario Toggle'!$E$10</f>
        <v>0</v>
      </c>
    </row>
    <row r="7" spans="1:30" x14ac:dyDescent="0.2">
      <c r="A7" s="32"/>
      <c r="B7" s="33" t="s">
        <v>110</v>
      </c>
      <c r="C7" s="35">
        <f t="shared" ref="C7:Z7" si="1">MAX(0,C5-C6)</f>
        <v>9.8000000000000007</v>
      </c>
      <c r="D7" s="35">
        <f t="shared" si="1"/>
        <v>9.8000000000000007</v>
      </c>
      <c r="E7" s="35">
        <f t="shared" si="1"/>
        <v>9.8000000000000007</v>
      </c>
      <c r="F7" s="35">
        <f t="shared" si="1"/>
        <v>9.8000000000000007</v>
      </c>
      <c r="G7" s="35">
        <f t="shared" si="1"/>
        <v>9.8000000000000007</v>
      </c>
      <c r="H7" s="35">
        <f t="shared" si="1"/>
        <v>9.8000000000000007</v>
      </c>
      <c r="I7" s="35">
        <f t="shared" si="1"/>
        <v>9.8000000000000007</v>
      </c>
      <c r="J7" s="35">
        <f t="shared" si="1"/>
        <v>9.8000000000000007</v>
      </c>
      <c r="K7" s="35">
        <f t="shared" si="1"/>
        <v>9.8000000000000007</v>
      </c>
      <c r="L7" s="35">
        <f t="shared" si="1"/>
        <v>9.8000000000000007</v>
      </c>
      <c r="M7" s="35">
        <f t="shared" si="1"/>
        <v>9.8000000000000007</v>
      </c>
      <c r="N7" s="35">
        <f t="shared" si="1"/>
        <v>9.8000000000000007</v>
      </c>
      <c r="O7" s="35">
        <f t="shared" si="1"/>
        <v>9.8000000000000007</v>
      </c>
      <c r="P7" s="35">
        <f t="shared" si="1"/>
        <v>9.8000000000000007</v>
      </c>
      <c r="Q7" s="35">
        <f t="shared" si="1"/>
        <v>9.8000000000000007</v>
      </c>
      <c r="R7" s="35">
        <f t="shared" si="1"/>
        <v>9.8000000000000007</v>
      </c>
      <c r="S7" s="35">
        <f t="shared" si="1"/>
        <v>9.8000000000000007</v>
      </c>
      <c r="T7" s="35">
        <f t="shared" si="1"/>
        <v>9.8000000000000007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f t="shared" si="1"/>
        <v>0</v>
      </c>
    </row>
    <row r="8" spans="1:30" x14ac:dyDescent="0.2">
      <c r="A8" s="32"/>
      <c r="B8" s="33" t="s">
        <v>111</v>
      </c>
      <c r="C8" s="17">
        <f>IF(C$3&lt;'Project Database'!$D$4,0,'Project Database'!$G$4*'Project Database'!$H$4*(1+'Scenario Toggle'!$E$9)^DATEDIF('Project Database'!$D$4,C$3,"m"))</f>
        <v>16000000</v>
      </c>
      <c r="D8" s="17">
        <f>IF(D$3&lt;'Project Database'!$D$4,0,'Project Database'!$G$4*'Project Database'!$H$4*(1+'Scenario Toggle'!$E$9)^DATEDIF('Project Database'!$D$4,D$3,"m"))</f>
        <v>16064000</v>
      </c>
      <c r="E8" s="17">
        <f>IF(E$3&lt;'Project Database'!$D$4,0,'Project Database'!$G$4*'Project Database'!$H$4*(1+'Scenario Toggle'!$E$9)^DATEDIF('Project Database'!$D$4,E$3,"m"))</f>
        <v>16128256</v>
      </c>
      <c r="F8" s="17">
        <f>IF(F$3&lt;'Project Database'!$D$4,0,'Project Database'!$G$4*'Project Database'!$H$4*(1+'Scenario Toggle'!$E$9)^DATEDIF('Project Database'!$D$4,F$3,"m"))</f>
        <v>16192769.024</v>
      </c>
      <c r="G8" s="17">
        <f>IF(G$3&lt;'Project Database'!$D$4,0,'Project Database'!$G$4*'Project Database'!$H$4*(1+'Scenario Toggle'!$E$9)^DATEDIF('Project Database'!$D$4,G$3,"m"))</f>
        <v>16257540.100096002</v>
      </c>
      <c r="H8" s="17">
        <f>IF(H$3&lt;'Project Database'!$D$4,0,'Project Database'!$G$4*'Project Database'!$H$4*(1+'Scenario Toggle'!$E$9)^DATEDIF('Project Database'!$D$4,H$3,"m"))</f>
        <v>16322570.260496384</v>
      </c>
      <c r="I8" s="17">
        <f>IF(I$3&lt;'Project Database'!$D$4,0,'Project Database'!$G$4*'Project Database'!$H$4*(1+'Scenario Toggle'!$E$9)^DATEDIF('Project Database'!$D$4,I$3,"m"))</f>
        <v>16387860.541538369</v>
      </c>
      <c r="J8" s="17">
        <f>IF(J$3&lt;'Project Database'!$D$4,0,'Project Database'!$G$4*'Project Database'!$H$4*(1+'Scenario Toggle'!$E$9)^DATEDIF('Project Database'!$D$4,J$3,"m"))</f>
        <v>16453411.983704522</v>
      </c>
      <c r="K8" s="17">
        <f>IF(K$3&lt;'Project Database'!$D$4,0,'Project Database'!$G$4*'Project Database'!$H$4*(1+'Scenario Toggle'!$E$9)^DATEDIF('Project Database'!$D$4,K$3,"m"))</f>
        <v>16519225.631639345</v>
      </c>
      <c r="L8" s="17">
        <f>IF(L$3&lt;'Project Database'!$D$4,0,'Project Database'!$G$4*'Project Database'!$H$4*(1+'Scenario Toggle'!$E$9)^DATEDIF('Project Database'!$D$4,L$3,"m"))</f>
        <v>16585302.534165902</v>
      </c>
      <c r="M8" s="17">
        <f>IF(M$3&lt;'Project Database'!$D$4,0,'Project Database'!$G$4*'Project Database'!$H$4*(1+'Scenario Toggle'!$E$9)^DATEDIF('Project Database'!$D$4,M$3,"m"))</f>
        <v>16651643.744302565</v>
      </c>
      <c r="N8" s="17">
        <f>IF(N$3&lt;'Project Database'!$D$4,0,'Project Database'!$G$4*'Project Database'!$H$4*(1+'Scenario Toggle'!$E$9)^DATEDIF('Project Database'!$D$4,N$3,"m"))</f>
        <v>16718250.319279775</v>
      </c>
      <c r="O8" s="17">
        <f>IF(O$3&lt;'Project Database'!$D$4,0,'Project Database'!$G$4*'Project Database'!$H$4*(1+'Scenario Toggle'!$E$9)^DATEDIF('Project Database'!$D$4,O$3,"m"))</f>
        <v>16785123.320556894</v>
      </c>
      <c r="P8" s="17">
        <f>IF(P$3&lt;'Project Database'!$D$4,0,'Project Database'!$G$4*'Project Database'!$H$4*(1+'Scenario Toggle'!$E$9)^DATEDIF('Project Database'!$D$4,P$3,"m"))</f>
        <v>16852263.813839123</v>
      </c>
      <c r="Q8" s="17">
        <f>IF(Q$3&lt;'Project Database'!$D$4,0,'Project Database'!$G$4*'Project Database'!$H$4*(1+'Scenario Toggle'!$E$9)^DATEDIF('Project Database'!$D$4,Q$3,"m"))</f>
        <v>16919672.86909448</v>
      </c>
      <c r="R8" s="17">
        <f>IF(R$3&lt;'Project Database'!$D$4,0,'Project Database'!$G$4*'Project Database'!$H$4*(1+'Scenario Toggle'!$E$9)^DATEDIF('Project Database'!$D$4,R$3,"m"))</f>
        <v>16987351.560570858</v>
      </c>
      <c r="S8" s="17">
        <f>IF(S$3&lt;'Project Database'!$D$4,0,'Project Database'!$G$4*'Project Database'!$H$4*(1+'Scenario Toggle'!$E$9)^DATEDIF('Project Database'!$D$4,S$3,"m"))</f>
        <v>17055300.966813143</v>
      </c>
      <c r="T8" s="17">
        <f>IF(T$3&lt;'Project Database'!$D$4,0,'Project Database'!$G$4*'Project Database'!$H$4*(1+'Scenario Toggle'!$E$9)^DATEDIF('Project Database'!$D$4,T$3,"m"))</f>
        <v>17123522.170680396</v>
      </c>
      <c r="U8" s="17">
        <f>IF(U$3&lt;'Project Database'!$D$4,0,'Project Database'!$G$4*'Project Database'!$H$4*(1+'Scenario Toggle'!$E$9)^DATEDIF('Project Database'!$D$4,U$3,"m"))</f>
        <v>17192016.259363119</v>
      </c>
      <c r="V8" s="17">
        <f>IF(V$3&lt;'Project Database'!$D$4,0,'Project Database'!$G$4*'Project Database'!$H$4*(1+'Scenario Toggle'!$E$9)^DATEDIF('Project Database'!$D$4,V$3,"m"))</f>
        <v>17260784.324400567</v>
      </c>
      <c r="W8" s="17">
        <f>IF(W$3&lt;'Project Database'!$D$4,0,'Project Database'!$G$4*'Project Database'!$H$4*(1+'Scenario Toggle'!$E$9)^DATEDIF('Project Database'!$D$4,W$3,"m"))</f>
        <v>17329827.461698174</v>
      </c>
      <c r="X8" s="17">
        <f>IF(X$3&lt;'Project Database'!$D$4,0,'Project Database'!$G$4*'Project Database'!$H$4*(1+'Scenario Toggle'!$E$9)^DATEDIF('Project Database'!$D$4,X$3,"m"))</f>
        <v>17399146.771544963</v>
      </c>
      <c r="Y8" s="17">
        <f>IF(Y$3&lt;'Project Database'!$D$4,0,'Project Database'!$G$4*'Project Database'!$H$4*(1+'Scenario Toggle'!$E$9)^DATEDIF('Project Database'!$D$4,Y$3,"m"))</f>
        <v>17468743.358631145</v>
      </c>
      <c r="Z8" s="17">
        <f>IF(Z$3&lt;'Project Database'!$D$4,0,'Project Database'!$G$4*'Project Database'!$H$4*(1+'Scenario Toggle'!$E$9)^DATEDIF('Project Database'!$D$4,Z$3,"m"))</f>
        <v>17538618.332065668</v>
      </c>
    </row>
    <row r="9" spans="1:30" x14ac:dyDescent="0.2">
      <c r="A9" s="32"/>
      <c r="B9" s="33" t="s">
        <v>112</v>
      </c>
      <c r="C9" s="17">
        <f t="shared" ref="C9:Z9" si="2">C7*C8</f>
        <v>156800000</v>
      </c>
      <c r="D9" s="17">
        <f t="shared" si="2"/>
        <v>157427200</v>
      </c>
      <c r="E9" s="17">
        <f t="shared" si="2"/>
        <v>158056908.80000001</v>
      </c>
      <c r="F9" s="17">
        <f t="shared" si="2"/>
        <v>158689136.43520001</v>
      </c>
      <c r="G9" s="17">
        <f t="shared" si="2"/>
        <v>159323892.98094082</v>
      </c>
      <c r="H9" s="17">
        <f t="shared" si="2"/>
        <v>159961188.55286458</v>
      </c>
      <c r="I9" s="17">
        <f t="shared" si="2"/>
        <v>160601033.30707604</v>
      </c>
      <c r="J9" s="17">
        <f t="shared" si="2"/>
        <v>161243437.44030434</v>
      </c>
      <c r="K9" s="17">
        <f t="shared" si="2"/>
        <v>161888411.19006559</v>
      </c>
      <c r="L9" s="17">
        <f t="shared" si="2"/>
        <v>162535964.83482584</v>
      </c>
      <c r="M9" s="17">
        <f t="shared" si="2"/>
        <v>163186108.69416514</v>
      </c>
      <c r="N9" s="17">
        <f t="shared" si="2"/>
        <v>163838853.1289418</v>
      </c>
      <c r="O9" s="17">
        <f t="shared" si="2"/>
        <v>164494208.54145756</v>
      </c>
      <c r="P9" s="17">
        <f t="shared" si="2"/>
        <v>165152185.3756234</v>
      </c>
      <c r="Q9" s="17">
        <f t="shared" si="2"/>
        <v>165812794.11712593</v>
      </c>
      <c r="R9" s="17">
        <f t="shared" si="2"/>
        <v>166476045.29359442</v>
      </c>
      <c r="S9" s="17">
        <f t="shared" si="2"/>
        <v>167141949.47476882</v>
      </c>
      <c r="T9" s="17">
        <f t="shared" si="2"/>
        <v>167810517.27266788</v>
      </c>
      <c r="U9" s="17">
        <f t="shared" si="2"/>
        <v>0</v>
      </c>
      <c r="V9" s="17">
        <f t="shared" si="2"/>
        <v>0</v>
      </c>
      <c r="W9" s="17">
        <f t="shared" si="2"/>
        <v>0</v>
      </c>
      <c r="X9" s="17">
        <f t="shared" si="2"/>
        <v>0</v>
      </c>
      <c r="Y9" s="17">
        <f t="shared" si="2"/>
        <v>0</v>
      </c>
      <c r="Z9" s="17">
        <f t="shared" si="2"/>
        <v>0</v>
      </c>
    </row>
    <row r="10" spans="1:30" x14ac:dyDescent="0.2">
      <c r="A10" s="30" t="s">
        <v>97</v>
      </c>
      <c r="B10" s="30" t="s">
        <v>107</v>
      </c>
      <c r="C10" s="31">
        <f>'Project Database'!$C$5</f>
        <v>60</v>
      </c>
      <c r="D10" s="30">
        <f t="shared" ref="D10:Z10" si="3">C10-C13</f>
        <v>60</v>
      </c>
      <c r="E10" s="30">
        <f t="shared" si="3"/>
        <v>57.06</v>
      </c>
      <c r="F10" s="30">
        <f t="shared" si="3"/>
        <v>54.120000000000005</v>
      </c>
      <c r="G10" s="30">
        <f t="shared" si="3"/>
        <v>51.180000000000007</v>
      </c>
      <c r="H10" s="30">
        <f t="shared" si="3"/>
        <v>48.240000000000009</v>
      </c>
      <c r="I10" s="30">
        <f t="shared" si="3"/>
        <v>45.300000000000011</v>
      </c>
      <c r="J10" s="30">
        <f t="shared" si="3"/>
        <v>42.360000000000014</v>
      </c>
      <c r="K10" s="30">
        <f t="shared" si="3"/>
        <v>39.420000000000016</v>
      </c>
      <c r="L10" s="30">
        <f t="shared" si="3"/>
        <v>36.480000000000018</v>
      </c>
      <c r="M10" s="30">
        <f t="shared" si="3"/>
        <v>33.54000000000002</v>
      </c>
      <c r="N10" s="30">
        <f t="shared" si="3"/>
        <v>30.600000000000019</v>
      </c>
      <c r="O10" s="30">
        <f t="shared" si="3"/>
        <v>27.660000000000018</v>
      </c>
      <c r="P10" s="30">
        <f t="shared" si="3"/>
        <v>24.720000000000017</v>
      </c>
      <c r="Q10" s="30">
        <f t="shared" si="3"/>
        <v>21.780000000000015</v>
      </c>
      <c r="R10" s="30">
        <f t="shared" si="3"/>
        <v>18.840000000000014</v>
      </c>
      <c r="S10" s="30">
        <f t="shared" si="3"/>
        <v>15.900000000000015</v>
      </c>
      <c r="T10" s="30">
        <f t="shared" si="3"/>
        <v>12.960000000000015</v>
      </c>
      <c r="U10" s="30">
        <f t="shared" si="3"/>
        <v>10.020000000000016</v>
      </c>
      <c r="V10" s="30">
        <f t="shared" si="3"/>
        <v>7.0800000000000161</v>
      </c>
      <c r="W10" s="30">
        <f t="shared" si="3"/>
        <v>4.1400000000000166</v>
      </c>
      <c r="X10" s="30">
        <f t="shared" si="3"/>
        <v>1.2000000000000166</v>
      </c>
      <c r="Y10" s="30">
        <f t="shared" si="3"/>
        <v>1.2000000000000166</v>
      </c>
      <c r="Z10" s="30">
        <f t="shared" si="3"/>
        <v>1.2000000000000166</v>
      </c>
    </row>
    <row r="11" spans="1:30" x14ac:dyDescent="0.2">
      <c r="A11" s="32"/>
      <c r="B11" s="33" t="s">
        <v>108</v>
      </c>
      <c r="C11" s="34">
        <f>IF(AND(C$3&gt;='Project Database'!$D$5,C$3&lt;=EDATE('Project Database'!$E$5,ROUND('Scenario Toggle'!$E$12,0))),MIN(ROUND('Project Database'!$C$5/MAX(1,DATEDIF('Project Database'!$D$5,EDATE('Project Database'!$E$5,ROUND('Scenario Toggle'!$E$12,0)),"m")+1)*'Scenario Toggle'!$E$8,0),C10),0)</f>
        <v>0</v>
      </c>
      <c r="D11" s="34">
        <f>IF(AND(D$3&gt;='Project Database'!$D$5,D$3&lt;=EDATE('Project Database'!$E$5,ROUND('Scenario Toggle'!$E$12,0))),MIN(ROUND('Project Database'!$C$5/MAX(1,DATEDIF('Project Database'!$D$5,EDATE('Project Database'!$E$5,ROUND('Scenario Toggle'!$E$12,0)),"m")+1)*'Scenario Toggle'!$E$8,0),D10),0)</f>
        <v>3</v>
      </c>
      <c r="E11" s="34">
        <f>IF(AND(E$3&gt;='Project Database'!$D$5,E$3&lt;=EDATE('Project Database'!$E$5,ROUND('Scenario Toggle'!$E$12,0))),MIN(ROUND('Project Database'!$C$5/MAX(1,DATEDIF('Project Database'!$D$5,EDATE('Project Database'!$E$5,ROUND('Scenario Toggle'!$E$12,0)),"m")+1)*'Scenario Toggle'!$E$8,0),E10),0)</f>
        <v>3</v>
      </c>
      <c r="F11" s="34">
        <f>IF(AND(F$3&gt;='Project Database'!$D$5,F$3&lt;=EDATE('Project Database'!$E$5,ROUND('Scenario Toggle'!$E$12,0))),MIN(ROUND('Project Database'!$C$5/MAX(1,DATEDIF('Project Database'!$D$5,EDATE('Project Database'!$E$5,ROUND('Scenario Toggle'!$E$12,0)),"m")+1)*'Scenario Toggle'!$E$8,0),F10),0)</f>
        <v>3</v>
      </c>
      <c r="G11" s="34">
        <f>IF(AND(G$3&gt;='Project Database'!$D$5,G$3&lt;=EDATE('Project Database'!$E$5,ROUND('Scenario Toggle'!$E$12,0))),MIN(ROUND('Project Database'!$C$5/MAX(1,DATEDIF('Project Database'!$D$5,EDATE('Project Database'!$E$5,ROUND('Scenario Toggle'!$E$12,0)),"m")+1)*'Scenario Toggle'!$E$8,0),G10),0)</f>
        <v>3</v>
      </c>
      <c r="H11" s="34">
        <f>IF(AND(H$3&gt;='Project Database'!$D$5,H$3&lt;=EDATE('Project Database'!$E$5,ROUND('Scenario Toggle'!$E$12,0))),MIN(ROUND('Project Database'!$C$5/MAX(1,DATEDIF('Project Database'!$D$5,EDATE('Project Database'!$E$5,ROUND('Scenario Toggle'!$E$12,0)),"m")+1)*'Scenario Toggle'!$E$8,0),H10),0)</f>
        <v>3</v>
      </c>
      <c r="I11" s="34">
        <f>IF(AND(I$3&gt;='Project Database'!$D$5,I$3&lt;=EDATE('Project Database'!$E$5,ROUND('Scenario Toggle'!$E$12,0))),MIN(ROUND('Project Database'!$C$5/MAX(1,DATEDIF('Project Database'!$D$5,EDATE('Project Database'!$E$5,ROUND('Scenario Toggle'!$E$12,0)),"m")+1)*'Scenario Toggle'!$E$8,0),I10),0)</f>
        <v>3</v>
      </c>
      <c r="J11" s="34">
        <f>IF(AND(J$3&gt;='Project Database'!$D$5,J$3&lt;=EDATE('Project Database'!$E$5,ROUND('Scenario Toggle'!$E$12,0))),MIN(ROUND('Project Database'!$C$5/MAX(1,DATEDIF('Project Database'!$D$5,EDATE('Project Database'!$E$5,ROUND('Scenario Toggle'!$E$12,0)),"m")+1)*'Scenario Toggle'!$E$8,0),J10),0)</f>
        <v>3</v>
      </c>
      <c r="K11" s="34">
        <f>IF(AND(K$3&gt;='Project Database'!$D$5,K$3&lt;=EDATE('Project Database'!$E$5,ROUND('Scenario Toggle'!$E$12,0))),MIN(ROUND('Project Database'!$C$5/MAX(1,DATEDIF('Project Database'!$D$5,EDATE('Project Database'!$E$5,ROUND('Scenario Toggle'!$E$12,0)),"m")+1)*'Scenario Toggle'!$E$8,0),K10),0)</f>
        <v>3</v>
      </c>
      <c r="L11" s="34">
        <f>IF(AND(L$3&gt;='Project Database'!$D$5,L$3&lt;=EDATE('Project Database'!$E$5,ROUND('Scenario Toggle'!$E$12,0))),MIN(ROUND('Project Database'!$C$5/MAX(1,DATEDIF('Project Database'!$D$5,EDATE('Project Database'!$E$5,ROUND('Scenario Toggle'!$E$12,0)),"m")+1)*'Scenario Toggle'!$E$8,0),L10),0)</f>
        <v>3</v>
      </c>
      <c r="M11" s="34">
        <f>IF(AND(M$3&gt;='Project Database'!$D$5,M$3&lt;=EDATE('Project Database'!$E$5,ROUND('Scenario Toggle'!$E$12,0))),MIN(ROUND('Project Database'!$C$5/MAX(1,DATEDIF('Project Database'!$D$5,EDATE('Project Database'!$E$5,ROUND('Scenario Toggle'!$E$12,0)),"m")+1)*'Scenario Toggle'!$E$8,0),M10),0)</f>
        <v>3</v>
      </c>
      <c r="N11" s="34">
        <f>IF(AND(N$3&gt;='Project Database'!$D$5,N$3&lt;=EDATE('Project Database'!$E$5,ROUND('Scenario Toggle'!$E$12,0))),MIN(ROUND('Project Database'!$C$5/MAX(1,DATEDIF('Project Database'!$D$5,EDATE('Project Database'!$E$5,ROUND('Scenario Toggle'!$E$12,0)),"m")+1)*'Scenario Toggle'!$E$8,0),N10),0)</f>
        <v>3</v>
      </c>
      <c r="O11" s="34">
        <f>IF(AND(O$3&gt;='Project Database'!$D$5,O$3&lt;=EDATE('Project Database'!$E$5,ROUND('Scenario Toggle'!$E$12,0))),MIN(ROUND('Project Database'!$C$5/MAX(1,DATEDIF('Project Database'!$D$5,EDATE('Project Database'!$E$5,ROUND('Scenario Toggle'!$E$12,0)),"m")+1)*'Scenario Toggle'!$E$8,0),O10),0)</f>
        <v>3</v>
      </c>
      <c r="P11" s="34">
        <f>IF(AND(P$3&gt;='Project Database'!$D$5,P$3&lt;=EDATE('Project Database'!$E$5,ROUND('Scenario Toggle'!$E$12,0))),MIN(ROUND('Project Database'!$C$5/MAX(1,DATEDIF('Project Database'!$D$5,EDATE('Project Database'!$E$5,ROUND('Scenario Toggle'!$E$12,0)),"m")+1)*'Scenario Toggle'!$E$8,0),P10),0)</f>
        <v>3</v>
      </c>
      <c r="Q11" s="34">
        <f>IF(AND(Q$3&gt;='Project Database'!$D$5,Q$3&lt;=EDATE('Project Database'!$E$5,ROUND('Scenario Toggle'!$E$12,0))),MIN(ROUND('Project Database'!$C$5/MAX(1,DATEDIF('Project Database'!$D$5,EDATE('Project Database'!$E$5,ROUND('Scenario Toggle'!$E$12,0)),"m")+1)*'Scenario Toggle'!$E$8,0),Q10),0)</f>
        <v>3</v>
      </c>
      <c r="R11" s="34">
        <f>IF(AND(R$3&gt;='Project Database'!$D$5,R$3&lt;=EDATE('Project Database'!$E$5,ROUND('Scenario Toggle'!$E$12,0))),MIN(ROUND('Project Database'!$C$5/MAX(1,DATEDIF('Project Database'!$D$5,EDATE('Project Database'!$E$5,ROUND('Scenario Toggle'!$E$12,0)),"m")+1)*'Scenario Toggle'!$E$8,0),R10),0)</f>
        <v>3</v>
      </c>
      <c r="S11" s="34">
        <f>IF(AND(S$3&gt;='Project Database'!$D$5,S$3&lt;=EDATE('Project Database'!$E$5,ROUND('Scenario Toggle'!$E$12,0))),MIN(ROUND('Project Database'!$C$5/MAX(1,DATEDIF('Project Database'!$D$5,EDATE('Project Database'!$E$5,ROUND('Scenario Toggle'!$E$12,0)),"m")+1)*'Scenario Toggle'!$E$8,0),S10),0)</f>
        <v>3</v>
      </c>
      <c r="T11" s="34">
        <f>IF(AND(T$3&gt;='Project Database'!$D$5,T$3&lt;=EDATE('Project Database'!$E$5,ROUND('Scenario Toggle'!$E$12,0))),MIN(ROUND('Project Database'!$C$5/MAX(1,DATEDIF('Project Database'!$D$5,EDATE('Project Database'!$E$5,ROUND('Scenario Toggle'!$E$12,0)),"m")+1)*'Scenario Toggle'!$E$8,0),T10),0)</f>
        <v>3</v>
      </c>
      <c r="U11" s="34">
        <f>IF(AND(U$3&gt;='Project Database'!$D$5,U$3&lt;=EDATE('Project Database'!$E$5,ROUND('Scenario Toggle'!$E$12,0))),MIN(ROUND('Project Database'!$C$5/MAX(1,DATEDIF('Project Database'!$D$5,EDATE('Project Database'!$E$5,ROUND('Scenario Toggle'!$E$12,0)),"m")+1)*'Scenario Toggle'!$E$8,0),U10),0)</f>
        <v>3</v>
      </c>
      <c r="V11" s="34">
        <f>IF(AND(V$3&gt;='Project Database'!$D$5,V$3&lt;=EDATE('Project Database'!$E$5,ROUND('Scenario Toggle'!$E$12,0))),MIN(ROUND('Project Database'!$C$5/MAX(1,DATEDIF('Project Database'!$D$5,EDATE('Project Database'!$E$5,ROUND('Scenario Toggle'!$E$12,0)),"m")+1)*'Scenario Toggle'!$E$8,0),V10),0)</f>
        <v>3</v>
      </c>
      <c r="W11" s="34">
        <f>IF(AND(W$3&gt;='Project Database'!$D$5,W$3&lt;=EDATE('Project Database'!$E$5,ROUND('Scenario Toggle'!$E$12,0))),MIN(ROUND('Project Database'!$C$5/MAX(1,DATEDIF('Project Database'!$D$5,EDATE('Project Database'!$E$5,ROUND('Scenario Toggle'!$E$12,0)),"m")+1)*'Scenario Toggle'!$E$8,0),W10),0)</f>
        <v>3</v>
      </c>
      <c r="X11" s="34">
        <f>IF(AND(X$3&gt;='Project Database'!$D$5,X$3&lt;=EDATE('Project Database'!$E$5,ROUND('Scenario Toggle'!$E$12,0))),MIN(ROUND('Project Database'!$C$5/MAX(1,DATEDIF('Project Database'!$D$5,EDATE('Project Database'!$E$5,ROUND('Scenario Toggle'!$E$12,0)),"m")+1)*'Scenario Toggle'!$E$8,0),X10),0)</f>
        <v>0</v>
      </c>
      <c r="Y11" s="34">
        <f>IF(AND(Y$3&gt;='Project Database'!$D$5,Y$3&lt;=EDATE('Project Database'!$E$5,ROUND('Scenario Toggle'!$E$12,0))),MIN(ROUND('Project Database'!$C$5/MAX(1,DATEDIF('Project Database'!$D$5,EDATE('Project Database'!$E$5,ROUND('Scenario Toggle'!$E$12,0)),"m")+1)*'Scenario Toggle'!$E$8,0),Y10),0)</f>
        <v>0</v>
      </c>
      <c r="Z11" s="34">
        <f>IF(AND(Z$3&gt;='Project Database'!$D$5,Z$3&lt;=EDATE('Project Database'!$E$5,ROUND('Scenario Toggle'!$E$12,0))),MIN(ROUND('Project Database'!$C$5/MAX(1,DATEDIF('Project Database'!$D$5,EDATE('Project Database'!$E$5,ROUND('Scenario Toggle'!$E$12,0)),"m")+1)*'Scenario Toggle'!$E$8,0),Z10),0)</f>
        <v>0</v>
      </c>
    </row>
    <row r="12" spans="1:30" x14ac:dyDescent="0.2">
      <c r="A12" s="32"/>
      <c r="B12" s="33" t="s">
        <v>109</v>
      </c>
      <c r="C12" s="35">
        <f>C11*'Scenario Toggle'!$E$10</f>
        <v>0</v>
      </c>
      <c r="D12" s="35">
        <f>D11*'Scenario Toggle'!$E$10</f>
        <v>0.06</v>
      </c>
      <c r="E12" s="35">
        <f>E11*'Scenario Toggle'!$E$10</f>
        <v>0.06</v>
      </c>
      <c r="F12" s="35">
        <f>F11*'Scenario Toggle'!$E$10</f>
        <v>0.06</v>
      </c>
      <c r="G12" s="35">
        <f>G11*'Scenario Toggle'!$E$10</f>
        <v>0.06</v>
      </c>
      <c r="H12" s="35">
        <f>H11*'Scenario Toggle'!$E$10</f>
        <v>0.06</v>
      </c>
      <c r="I12" s="35">
        <f>I11*'Scenario Toggle'!$E$10</f>
        <v>0.06</v>
      </c>
      <c r="J12" s="35">
        <f>J11*'Scenario Toggle'!$E$10</f>
        <v>0.06</v>
      </c>
      <c r="K12" s="35">
        <f>K11*'Scenario Toggle'!$E$10</f>
        <v>0.06</v>
      </c>
      <c r="L12" s="35">
        <f>L11*'Scenario Toggle'!$E$10</f>
        <v>0.06</v>
      </c>
      <c r="M12" s="35">
        <f>M11*'Scenario Toggle'!$E$10</f>
        <v>0.06</v>
      </c>
      <c r="N12" s="35">
        <f>N11*'Scenario Toggle'!$E$10</f>
        <v>0.06</v>
      </c>
      <c r="O12" s="35">
        <f>O11*'Scenario Toggle'!$E$10</f>
        <v>0.06</v>
      </c>
      <c r="P12" s="35">
        <f>P11*'Scenario Toggle'!$E$10</f>
        <v>0.06</v>
      </c>
      <c r="Q12" s="35">
        <f>Q11*'Scenario Toggle'!$E$10</f>
        <v>0.06</v>
      </c>
      <c r="R12" s="35">
        <f>R11*'Scenario Toggle'!$E$10</f>
        <v>0.06</v>
      </c>
      <c r="S12" s="35">
        <f>S11*'Scenario Toggle'!$E$10</f>
        <v>0.06</v>
      </c>
      <c r="T12" s="35">
        <f>T11*'Scenario Toggle'!$E$10</f>
        <v>0.06</v>
      </c>
      <c r="U12" s="35">
        <f>U11*'Scenario Toggle'!$E$10</f>
        <v>0.06</v>
      </c>
      <c r="V12" s="35">
        <f>V11*'Scenario Toggle'!$E$10</f>
        <v>0.06</v>
      </c>
      <c r="W12" s="35">
        <f>W11*'Scenario Toggle'!$E$10</f>
        <v>0.06</v>
      </c>
      <c r="X12" s="35">
        <f>X11*'Scenario Toggle'!$E$10</f>
        <v>0</v>
      </c>
      <c r="Y12" s="35">
        <f>Y11*'Scenario Toggle'!$E$10</f>
        <v>0</v>
      </c>
      <c r="Z12" s="35">
        <f>Z11*'Scenario Toggle'!$E$10</f>
        <v>0</v>
      </c>
    </row>
    <row r="13" spans="1:30" x14ac:dyDescent="0.2">
      <c r="A13" s="32"/>
      <c r="B13" s="33" t="s">
        <v>110</v>
      </c>
      <c r="C13" s="35">
        <f t="shared" ref="C13:Z13" si="4">MAX(0,C11-C12)</f>
        <v>0</v>
      </c>
      <c r="D13" s="35">
        <f t="shared" si="4"/>
        <v>2.94</v>
      </c>
      <c r="E13" s="35">
        <f t="shared" si="4"/>
        <v>2.94</v>
      </c>
      <c r="F13" s="35">
        <f t="shared" si="4"/>
        <v>2.94</v>
      </c>
      <c r="G13" s="35">
        <f t="shared" si="4"/>
        <v>2.94</v>
      </c>
      <c r="H13" s="35">
        <f t="shared" si="4"/>
        <v>2.94</v>
      </c>
      <c r="I13" s="35">
        <f t="shared" si="4"/>
        <v>2.94</v>
      </c>
      <c r="J13" s="35">
        <f t="shared" si="4"/>
        <v>2.94</v>
      </c>
      <c r="K13" s="35">
        <f t="shared" si="4"/>
        <v>2.94</v>
      </c>
      <c r="L13" s="35">
        <f t="shared" si="4"/>
        <v>2.94</v>
      </c>
      <c r="M13" s="35">
        <f t="shared" si="4"/>
        <v>2.94</v>
      </c>
      <c r="N13" s="35">
        <f t="shared" si="4"/>
        <v>2.94</v>
      </c>
      <c r="O13" s="35">
        <f t="shared" si="4"/>
        <v>2.94</v>
      </c>
      <c r="P13" s="35">
        <f t="shared" si="4"/>
        <v>2.94</v>
      </c>
      <c r="Q13" s="35">
        <f t="shared" si="4"/>
        <v>2.94</v>
      </c>
      <c r="R13" s="35">
        <f t="shared" si="4"/>
        <v>2.94</v>
      </c>
      <c r="S13" s="35">
        <f t="shared" si="4"/>
        <v>2.94</v>
      </c>
      <c r="T13" s="35">
        <f t="shared" si="4"/>
        <v>2.94</v>
      </c>
      <c r="U13" s="35">
        <f t="shared" si="4"/>
        <v>2.94</v>
      </c>
      <c r="V13" s="35">
        <f t="shared" si="4"/>
        <v>2.94</v>
      </c>
      <c r="W13" s="35">
        <f t="shared" si="4"/>
        <v>2.94</v>
      </c>
      <c r="X13" s="35">
        <f t="shared" si="4"/>
        <v>0</v>
      </c>
      <c r="Y13" s="35">
        <f t="shared" si="4"/>
        <v>0</v>
      </c>
      <c r="Z13" s="35">
        <f t="shared" si="4"/>
        <v>0</v>
      </c>
    </row>
    <row r="14" spans="1:30" x14ac:dyDescent="0.2">
      <c r="A14" s="32"/>
      <c r="B14" s="33" t="s">
        <v>111</v>
      </c>
      <c r="C14" s="17">
        <f>IF(C$3&lt;'Project Database'!$D$5,0,'Project Database'!$G$5*'Project Database'!$H$5*(1+'Scenario Toggle'!$E$9)^DATEDIF('Project Database'!$D$5,C$3,"m"))</f>
        <v>0</v>
      </c>
      <c r="D14" s="17">
        <f>IF(D$3&lt;'Project Database'!$D$5,0,'Project Database'!$G$5*'Project Database'!$H$5*(1+'Scenario Toggle'!$E$9)^DATEDIF('Project Database'!$D$5,D$3,"m"))</f>
        <v>35100000</v>
      </c>
      <c r="E14" s="17">
        <f>IF(E$3&lt;'Project Database'!$D$5,0,'Project Database'!$G$5*'Project Database'!$H$5*(1+'Scenario Toggle'!$E$9)^DATEDIF('Project Database'!$D$5,E$3,"m"))</f>
        <v>35240400</v>
      </c>
      <c r="F14" s="17">
        <f>IF(F$3&lt;'Project Database'!$D$5,0,'Project Database'!$G$5*'Project Database'!$H$5*(1+'Scenario Toggle'!$E$9)^DATEDIF('Project Database'!$D$5,F$3,"m"))</f>
        <v>35381361.600000001</v>
      </c>
      <c r="G14" s="17">
        <f>IF(G$3&lt;'Project Database'!$D$5,0,'Project Database'!$G$5*'Project Database'!$H$5*(1+'Scenario Toggle'!$E$9)^DATEDIF('Project Database'!$D$5,G$3,"m"))</f>
        <v>35522887.046400003</v>
      </c>
      <c r="H14" s="17">
        <f>IF(H$3&lt;'Project Database'!$D$5,0,'Project Database'!$G$5*'Project Database'!$H$5*(1+'Scenario Toggle'!$E$9)^DATEDIF('Project Database'!$D$5,H$3,"m"))</f>
        <v>35664978.594585605</v>
      </c>
      <c r="I14" s="17">
        <f>IF(I$3&lt;'Project Database'!$D$5,0,'Project Database'!$G$5*'Project Database'!$H$5*(1+'Scenario Toggle'!$E$9)^DATEDIF('Project Database'!$D$5,I$3,"m"))</f>
        <v>35807638.508963943</v>
      </c>
      <c r="J14" s="17">
        <f>IF(J$3&lt;'Project Database'!$D$5,0,'Project Database'!$G$5*'Project Database'!$H$5*(1+'Scenario Toggle'!$E$9)^DATEDIF('Project Database'!$D$5,J$3,"m"))</f>
        <v>35950869.0629998</v>
      </c>
      <c r="K14" s="17">
        <f>IF(K$3&lt;'Project Database'!$D$5,0,'Project Database'!$G$5*'Project Database'!$H$5*(1+'Scenario Toggle'!$E$9)^DATEDIF('Project Database'!$D$5,K$3,"m"))</f>
        <v>36094672.539251797</v>
      </c>
      <c r="L14" s="17">
        <f>IF(L$3&lt;'Project Database'!$D$5,0,'Project Database'!$G$5*'Project Database'!$H$5*(1+'Scenario Toggle'!$E$9)^DATEDIF('Project Database'!$D$5,L$3,"m"))</f>
        <v>36239051.229408808</v>
      </c>
      <c r="M14" s="17">
        <f>IF(M$3&lt;'Project Database'!$D$5,0,'Project Database'!$G$5*'Project Database'!$H$5*(1+'Scenario Toggle'!$E$9)^DATEDIF('Project Database'!$D$5,M$3,"m"))</f>
        <v>36384007.434326448</v>
      </c>
      <c r="N14" s="17">
        <f>IF(N$3&lt;'Project Database'!$D$5,0,'Project Database'!$G$5*'Project Database'!$H$5*(1+'Scenario Toggle'!$E$9)^DATEDIF('Project Database'!$D$5,N$3,"m"))</f>
        <v>36529543.464063749</v>
      </c>
      <c r="O14" s="17">
        <f>IF(O$3&lt;'Project Database'!$D$5,0,'Project Database'!$G$5*'Project Database'!$H$5*(1+'Scenario Toggle'!$E$9)^DATEDIF('Project Database'!$D$5,O$3,"m"))</f>
        <v>36675661.637920007</v>
      </c>
      <c r="P14" s="17">
        <f>IF(P$3&lt;'Project Database'!$D$5,0,'Project Database'!$G$5*'Project Database'!$H$5*(1+'Scenario Toggle'!$E$9)^DATEDIF('Project Database'!$D$5,P$3,"m"))</f>
        <v>36822364.284471691</v>
      </c>
      <c r="Q14" s="17">
        <f>IF(Q$3&lt;'Project Database'!$D$5,0,'Project Database'!$G$5*'Project Database'!$H$5*(1+'Scenario Toggle'!$E$9)^DATEDIF('Project Database'!$D$5,Q$3,"m"))</f>
        <v>36969653.741609573</v>
      </c>
      <c r="R14" s="17">
        <f>IF(R$3&lt;'Project Database'!$D$5,0,'Project Database'!$G$5*'Project Database'!$H$5*(1+'Scenario Toggle'!$E$9)^DATEDIF('Project Database'!$D$5,R$3,"m"))</f>
        <v>37117532.356576018</v>
      </c>
      <c r="S14" s="17">
        <f>IF(S$3&lt;'Project Database'!$D$5,0,'Project Database'!$G$5*'Project Database'!$H$5*(1+'Scenario Toggle'!$E$9)^DATEDIF('Project Database'!$D$5,S$3,"m"))</f>
        <v>37266002.486002319</v>
      </c>
      <c r="T14" s="17">
        <f>IF(T$3&lt;'Project Database'!$D$5,0,'Project Database'!$G$5*'Project Database'!$H$5*(1+'Scenario Toggle'!$E$9)^DATEDIF('Project Database'!$D$5,T$3,"m"))</f>
        <v>37415066.495946333</v>
      </c>
      <c r="U14" s="17">
        <f>IF(U$3&lt;'Project Database'!$D$5,0,'Project Database'!$G$5*'Project Database'!$H$5*(1+'Scenario Toggle'!$E$9)^DATEDIF('Project Database'!$D$5,U$3,"m"))</f>
        <v>37564726.761930116</v>
      </c>
      <c r="V14" s="17">
        <f>IF(V$3&lt;'Project Database'!$D$5,0,'Project Database'!$G$5*'Project Database'!$H$5*(1+'Scenario Toggle'!$E$9)^DATEDIF('Project Database'!$D$5,V$3,"m"))</f>
        <v>37714985.668977842</v>
      </c>
      <c r="W14" s="17">
        <f>IF(W$3&lt;'Project Database'!$D$5,0,'Project Database'!$G$5*'Project Database'!$H$5*(1+'Scenario Toggle'!$E$9)^DATEDIF('Project Database'!$D$5,W$3,"m"))</f>
        <v>37865845.611653745</v>
      </c>
      <c r="X14" s="17">
        <f>IF(X$3&lt;'Project Database'!$D$5,0,'Project Database'!$G$5*'Project Database'!$H$5*(1+'Scenario Toggle'!$E$9)^DATEDIF('Project Database'!$D$5,X$3,"m"))</f>
        <v>38017308.99410037</v>
      </c>
      <c r="Y14" s="17">
        <f>IF(Y$3&lt;'Project Database'!$D$5,0,'Project Database'!$G$5*'Project Database'!$H$5*(1+'Scenario Toggle'!$E$9)^DATEDIF('Project Database'!$D$5,Y$3,"m"))</f>
        <v>38169378.23007676</v>
      </c>
      <c r="Z14" s="17">
        <f>IF(Z$3&lt;'Project Database'!$D$5,0,'Project Database'!$G$5*'Project Database'!$H$5*(1+'Scenario Toggle'!$E$9)^DATEDIF('Project Database'!$D$5,Z$3,"m"))</f>
        <v>38322055.742997073</v>
      </c>
    </row>
    <row r="15" spans="1:30" x14ac:dyDescent="0.2">
      <c r="A15" s="32"/>
      <c r="B15" s="33" t="s">
        <v>112</v>
      </c>
      <c r="C15" s="17">
        <f t="shared" ref="C15:Z15" si="5">C13*C14</f>
        <v>0</v>
      </c>
      <c r="D15" s="17">
        <f t="shared" si="5"/>
        <v>103194000</v>
      </c>
      <c r="E15" s="17">
        <f t="shared" si="5"/>
        <v>103606776</v>
      </c>
      <c r="F15" s="17">
        <f t="shared" si="5"/>
        <v>104021203.104</v>
      </c>
      <c r="G15" s="17">
        <f t="shared" si="5"/>
        <v>104437287.916416</v>
      </c>
      <c r="H15" s="17">
        <f t="shared" si="5"/>
        <v>104855037.06808168</v>
      </c>
      <c r="I15" s="17">
        <f t="shared" si="5"/>
        <v>105274457.21635398</v>
      </c>
      <c r="J15" s="17">
        <f t="shared" si="5"/>
        <v>105695555.04521941</v>
      </c>
      <c r="K15" s="17">
        <f t="shared" si="5"/>
        <v>106118337.26540028</v>
      </c>
      <c r="L15" s="17">
        <f t="shared" si="5"/>
        <v>106542810.6144619</v>
      </c>
      <c r="M15" s="17">
        <f t="shared" si="5"/>
        <v>106968981.85691975</v>
      </c>
      <c r="N15" s="17">
        <f t="shared" si="5"/>
        <v>107396857.78434741</v>
      </c>
      <c r="O15" s="17">
        <f t="shared" si="5"/>
        <v>107826445.21548481</v>
      </c>
      <c r="P15" s="17">
        <f t="shared" si="5"/>
        <v>108257750.99634677</v>
      </c>
      <c r="Q15" s="17">
        <f t="shared" si="5"/>
        <v>108690782.00033215</v>
      </c>
      <c r="R15" s="17">
        <f t="shared" si="5"/>
        <v>109125545.12833349</v>
      </c>
      <c r="S15" s="17">
        <f t="shared" si="5"/>
        <v>109562047.30884682</v>
      </c>
      <c r="T15" s="17">
        <f t="shared" si="5"/>
        <v>110000295.49808222</v>
      </c>
      <c r="U15" s="17">
        <f t="shared" si="5"/>
        <v>110440296.68007454</v>
      </c>
      <c r="V15" s="17">
        <f t="shared" si="5"/>
        <v>110882057.86679485</v>
      </c>
      <c r="W15" s="17">
        <f t="shared" si="5"/>
        <v>111325586.09826201</v>
      </c>
      <c r="X15" s="17">
        <f t="shared" si="5"/>
        <v>0</v>
      </c>
      <c r="Y15" s="17">
        <f t="shared" si="5"/>
        <v>0</v>
      </c>
      <c r="Z15" s="17">
        <f t="shared" si="5"/>
        <v>0</v>
      </c>
    </row>
    <row r="16" spans="1:30" x14ac:dyDescent="0.2">
      <c r="A16" s="30" t="s">
        <v>99</v>
      </c>
      <c r="B16" s="30" t="s">
        <v>107</v>
      </c>
      <c r="C16" s="31">
        <f>'Project Database'!$C$6</f>
        <v>220</v>
      </c>
      <c r="D16" s="30">
        <f t="shared" ref="D16:Z16" si="6">C16-C19</f>
        <v>220</v>
      </c>
      <c r="E16" s="30">
        <f t="shared" si="6"/>
        <v>220</v>
      </c>
      <c r="F16" s="30">
        <f t="shared" si="6"/>
        <v>220</v>
      </c>
      <c r="G16" s="30">
        <f t="shared" si="6"/>
        <v>210.2</v>
      </c>
      <c r="H16" s="30">
        <f t="shared" si="6"/>
        <v>200.39999999999998</v>
      </c>
      <c r="I16" s="30">
        <f t="shared" si="6"/>
        <v>190.59999999999997</v>
      </c>
      <c r="J16" s="30">
        <f t="shared" si="6"/>
        <v>180.79999999999995</v>
      </c>
      <c r="K16" s="30">
        <f t="shared" si="6"/>
        <v>170.99999999999994</v>
      </c>
      <c r="L16" s="30">
        <f t="shared" si="6"/>
        <v>161.19999999999993</v>
      </c>
      <c r="M16" s="30">
        <f t="shared" si="6"/>
        <v>151.39999999999992</v>
      </c>
      <c r="N16" s="30">
        <f t="shared" si="6"/>
        <v>141.59999999999991</v>
      </c>
      <c r="O16" s="30">
        <f t="shared" si="6"/>
        <v>131.7999999999999</v>
      </c>
      <c r="P16" s="30">
        <f t="shared" si="6"/>
        <v>121.9999999999999</v>
      </c>
      <c r="Q16" s="30">
        <f t="shared" si="6"/>
        <v>112.1999999999999</v>
      </c>
      <c r="R16" s="30">
        <f t="shared" si="6"/>
        <v>102.39999999999991</v>
      </c>
      <c r="S16" s="30">
        <f t="shared" si="6"/>
        <v>92.599999999999909</v>
      </c>
      <c r="T16" s="30">
        <f t="shared" si="6"/>
        <v>82.799999999999912</v>
      </c>
      <c r="U16" s="30">
        <f t="shared" si="6"/>
        <v>72.999999999999915</v>
      </c>
      <c r="V16" s="30">
        <f t="shared" si="6"/>
        <v>63.199999999999918</v>
      </c>
      <c r="W16" s="30">
        <f t="shared" si="6"/>
        <v>53.39999999999992</v>
      </c>
      <c r="X16" s="30">
        <f t="shared" si="6"/>
        <v>43.599999999999923</v>
      </c>
      <c r="Y16" s="30">
        <f t="shared" si="6"/>
        <v>33.799999999999926</v>
      </c>
      <c r="Z16" s="30">
        <f t="shared" si="6"/>
        <v>23.999999999999925</v>
      </c>
    </row>
    <row r="17" spans="1:26" x14ac:dyDescent="0.2">
      <c r="A17" s="32"/>
      <c r="B17" s="33" t="s">
        <v>108</v>
      </c>
      <c r="C17" s="34">
        <f>IF(AND(C$3&gt;='Project Database'!$D$6,C$3&lt;=EDATE('Project Database'!$E$6,ROUND('Scenario Toggle'!$E$12,0))),MIN(ROUND('Project Database'!$C$6/MAX(1,DATEDIF('Project Database'!$D$6,EDATE('Project Database'!$E$6,ROUND('Scenario Toggle'!$E$12,0)),"m")+1)*'Scenario Toggle'!$E$8,0),C16),0)</f>
        <v>0</v>
      </c>
      <c r="D17" s="34">
        <f>IF(AND(D$3&gt;='Project Database'!$D$6,D$3&lt;=EDATE('Project Database'!$E$6,ROUND('Scenario Toggle'!$E$12,0))),MIN(ROUND('Project Database'!$C$6/MAX(1,DATEDIF('Project Database'!$D$6,EDATE('Project Database'!$E$6,ROUND('Scenario Toggle'!$E$12,0)),"m")+1)*'Scenario Toggle'!$E$8,0),D16),0)</f>
        <v>0</v>
      </c>
      <c r="E17" s="34">
        <f>IF(AND(E$3&gt;='Project Database'!$D$6,E$3&lt;=EDATE('Project Database'!$E$6,ROUND('Scenario Toggle'!$E$12,0))),MIN(ROUND('Project Database'!$C$6/MAX(1,DATEDIF('Project Database'!$D$6,EDATE('Project Database'!$E$6,ROUND('Scenario Toggle'!$E$12,0)),"m")+1)*'Scenario Toggle'!$E$8,0),E16),0)</f>
        <v>0</v>
      </c>
      <c r="F17" s="34">
        <f>IF(AND(F$3&gt;='Project Database'!$D$6,F$3&lt;=EDATE('Project Database'!$E$6,ROUND('Scenario Toggle'!$E$12,0))),MIN(ROUND('Project Database'!$C$6/MAX(1,DATEDIF('Project Database'!$D$6,EDATE('Project Database'!$E$6,ROUND('Scenario Toggle'!$E$12,0)),"m")+1)*'Scenario Toggle'!$E$8,0),F16),0)</f>
        <v>10</v>
      </c>
      <c r="G17" s="34">
        <f>IF(AND(G$3&gt;='Project Database'!$D$6,G$3&lt;=EDATE('Project Database'!$E$6,ROUND('Scenario Toggle'!$E$12,0))),MIN(ROUND('Project Database'!$C$6/MAX(1,DATEDIF('Project Database'!$D$6,EDATE('Project Database'!$E$6,ROUND('Scenario Toggle'!$E$12,0)),"m")+1)*'Scenario Toggle'!$E$8,0),G16),0)</f>
        <v>10</v>
      </c>
      <c r="H17" s="34">
        <f>IF(AND(H$3&gt;='Project Database'!$D$6,H$3&lt;=EDATE('Project Database'!$E$6,ROUND('Scenario Toggle'!$E$12,0))),MIN(ROUND('Project Database'!$C$6/MAX(1,DATEDIF('Project Database'!$D$6,EDATE('Project Database'!$E$6,ROUND('Scenario Toggle'!$E$12,0)),"m")+1)*'Scenario Toggle'!$E$8,0),H16),0)</f>
        <v>10</v>
      </c>
      <c r="I17" s="34">
        <f>IF(AND(I$3&gt;='Project Database'!$D$6,I$3&lt;=EDATE('Project Database'!$E$6,ROUND('Scenario Toggle'!$E$12,0))),MIN(ROUND('Project Database'!$C$6/MAX(1,DATEDIF('Project Database'!$D$6,EDATE('Project Database'!$E$6,ROUND('Scenario Toggle'!$E$12,0)),"m")+1)*'Scenario Toggle'!$E$8,0),I16),0)</f>
        <v>10</v>
      </c>
      <c r="J17" s="34">
        <f>IF(AND(J$3&gt;='Project Database'!$D$6,J$3&lt;=EDATE('Project Database'!$E$6,ROUND('Scenario Toggle'!$E$12,0))),MIN(ROUND('Project Database'!$C$6/MAX(1,DATEDIF('Project Database'!$D$6,EDATE('Project Database'!$E$6,ROUND('Scenario Toggle'!$E$12,0)),"m")+1)*'Scenario Toggle'!$E$8,0),J16),0)</f>
        <v>10</v>
      </c>
      <c r="K17" s="34">
        <f>IF(AND(K$3&gt;='Project Database'!$D$6,K$3&lt;=EDATE('Project Database'!$E$6,ROUND('Scenario Toggle'!$E$12,0))),MIN(ROUND('Project Database'!$C$6/MAX(1,DATEDIF('Project Database'!$D$6,EDATE('Project Database'!$E$6,ROUND('Scenario Toggle'!$E$12,0)),"m")+1)*'Scenario Toggle'!$E$8,0),K16),0)</f>
        <v>10</v>
      </c>
      <c r="L17" s="34">
        <f>IF(AND(L$3&gt;='Project Database'!$D$6,L$3&lt;=EDATE('Project Database'!$E$6,ROUND('Scenario Toggle'!$E$12,0))),MIN(ROUND('Project Database'!$C$6/MAX(1,DATEDIF('Project Database'!$D$6,EDATE('Project Database'!$E$6,ROUND('Scenario Toggle'!$E$12,0)),"m")+1)*'Scenario Toggle'!$E$8,0),L16),0)</f>
        <v>10</v>
      </c>
      <c r="M17" s="34">
        <f>IF(AND(M$3&gt;='Project Database'!$D$6,M$3&lt;=EDATE('Project Database'!$E$6,ROUND('Scenario Toggle'!$E$12,0))),MIN(ROUND('Project Database'!$C$6/MAX(1,DATEDIF('Project Database'!$D$6,EDATE('Project Database'!$E$6,ROUND('Scenario Toggle'!$E$12,0)),"m")+1)*'Scenario Toggle'!$E$8,0),M16),0)</f>
        <v>10</v>
      </c>
      <c r="N17" s="34">
        <f>IF(AND(N$3&gt;='Project Database'!$D$6,N$3&lt;=EDATE('Project Database'!$E$6,ROUND('Scenario Toggle'!$E$12,0))),MIN(ROUND('Project Database'!$C$6/MAX(1,DATEDIF('Project Database'!$D$6,EDATE('Project Database'!$E$6,ROUND('Scenario Toggle'!$E$12,0)),"m")+1)*'Scenario Toggle'!$E$8,0),N16),0)</f>
        <v>10</v>
      </c>
      <c r="O17" s="34">
        <f>IF(AND(O$3&gt;='Project Database'!$D$6,O$3&lt;=EDATE('Project Database'!$E$6,ROUND('Scenario Toggle'!$E$12,0))),MIN(ROUND('Project Database'!$C$6/MAX(1,DATEDIF('Project Database'!$D$6,EDATE('Project Database'!$E$6,ROUND('Scenario Toggle'!$E$12,0)),"m")+1)*'Scenario Toggle'!$E$8,0),O16),0)</f>
        <v>10</v>
      </c>
      <c r="P17" s="34">
        <f>IF(AND(P$3&gt;='Project Database'!$D$6,P$3&lt;=EDATE('Project Database'!$E$6,ROUND('Scenario Toggle'!$E$12,0))),MIN(ROUND('Project Database'!$C$6/MAX(1,DATEDIF('Project Database'!$D$6,EDATE('Project Database'!$E$6,ROUND('Scenario Toggle'!$E$12,0)),"m")+1)*'Scenario Toggle'!$E$8,0),P16),0)</f>
        <v>10</v>
      </c>
      <c r="Q17" s="34">
        <f>IF(AND(Q$3&gt;='Project Database'!$D$6,Q$3&lt;=EDATE('Project Database'!$E$6,ROUND('Scenario Toggle'!$E$12,0))),MIN(ROUND('Project Database'!$C$6/MAX(1,DATEDIF('Project Database'!$D$6,EDATE('Project Database'!$E$6,ROUND('Scenario Toggle'!$E$12,0)),"m")+1)*'Scenario Toggle'!$E$8,0),Q16),0)</f>
        <v>10</v>
      </c>
      <c r="R17" s="34">
        <f>IF(AND(R$3&gt;='Project Database'!$D$6,R$3&lt;=EDATE('Project Database'!$E$6,ROUND('Scenario Toggle'!$E$12,0))),MIN(ROUND('Project Database'!$C$6/MAX(1,DATEDIF('Project Database'!$D$6,EDATE('Project Database'!$E$6,ROUND('Scenario Toggle'!$E$12,0)),"m")+1)*'Scenario Toggle'!$E$8,0),R16),0)</f>
        <v>10</v>
      </c>
      <c r="S17" s="34">
        <f>IF(AND(S$3&gt;='Project Database'!$D$6,S$3&lt;=EDATE('Project Database'!$E$6,ROUND('Scenario Toggle'!$E$12,0))),MIN(ROUND('Project Database'!$C$6/MAX(1,DATEDIF('Project Database'!$D$6,EDATE('Project Database'!$E$6,ROUND('Scenario Toggle'!$E$12,0)),"m")+1)*'Scenario Toggle'!$E$8,0),S16),0)</f>
        <v>10</v>
      </c>
      <c r="T17" s="34">
        <f>IF(AND(T$3&gt;='Project Database'!$D$6,T$3&lt;=EDATE('Project Database'!$E$6,ROUND('Scenario Toggle'!$E$12,0))),MIN(ROUND('Project Database'!$C$6/MAX(1,DATEDIF('Project Database'!$D$6,EDATE('Project Database'!$E$6,ROUND('Scenario Toggle'!$E$12,0)),"m")+1)*'Scenario Toggle'!$E$8,0),T16),0)</f>
        <v>10</v>
      </c>
      <c r="U17" s="34">
        <f>IF(AND(U$3&gt;='Project Database'!$D$6,U$3&lt;=EDATE('Project Database'!$E$6,ROUND('Scenario Toggle'!$E$12,0))),MIN(ROUND('Project Database'!$C$6/MAX(1,DATEDIF('Project Database'!$D$6,EDATE('Project Database'!$E$6,ROUND('Scenario Toggle'!$E$12,0)),"m")+1)*'Scenario Toggle'!$E$8,0),U16),0)</f>
        <v>10</v>
      </c>
      <c r="V17" s="34">
        <f>IF(AND(V$3&gt;='Project Database'!$D$6,V$3&lt;=EDATE('Project Database'!$E$6,ROUND('Scenario Toggle'!$E$12,0))),MIN(ROUND('Project Database'!$C$6/MAX(1,DATEDIF('Project Database'!$D$6,EDATE('Project Database'!$E$6,ROUND('Scenario Toggle'!$E$12,0)),"m")+1)*'Scenario Toggle'!$E$8,0),V16),0)</f>
        <v>10</v>
      </c>
      <c r="W17" s="34">
        <f>IF(AND(W$3&gt;='Project Database'!$D$6,W$3&lt;=EDATE('Project Database'!$E$6,ROUND('Scenario Toggle'!$E$12,0))),MIN(ROUND('Project Database'!$C$6/MAX(1,DATEDIF('Project Database'!$D$6,EDATE('Project Database'!$E$6,ROUND('Scenario Toggle'!$E$12,0)),"m")+1)*'Scenario Toggle'!$E$8,0),W16),0)</f>
        <v>10</v>
      </c>
      <c r="X17" s="34">
        <f>IF(AND(X$3&gt;='Project Database'!$D$6,X$3&lt;=EDATE('Project Database'!$E$6,ROUND('Scenario Toggle'!$E$12,0))),MIN(ROUND('Project Database'!$C$6/MAX(1,DATEDIF('Project Database'!$D$6,EDATE('Project Database'!$E$6,ROUND('Scenario Toggle'!$E$12,0)),"m")+1)*'Scenario Toggle'!$E$8,0),X16),0)</f>
        <v>10</v>
      </c>
      <c r="Y17" s="34">
        <f>IF(AND(Y$3&gt;='Project Database'!$D$6,Y$3&lt;=EDATE('Project Database'!$E$6,ROUND('Scenario Toggle'!$E$12,0))),MIN(ROUND('Project Database'!$C$6/MAX(1,DATEDIF('Project Database'!$D$6,EDATE('Project Database'!$E$6,ROUND('Scenario Toggle'!$E$12,0)),"m")+1)*'Scenario Toggle'!$E$8,0),Y16),0)</f>
        <v>10</v>
      </c>
      <c r="Z17" s="34">
        <f>IF(AND(Z$3&gt;='Project Database'!$D$6,Z$3&lt;=EDATE('Project Database'!$E$6,ROUND('Scenario Toggle'!$E$12,0))),MIN(ROUND('Project Database'!$C$6/MAX(1,DATEDIF('Project Database'!$D$6,EDATE('Project Database'!$E$6,ROUND('Scenario Toggle'!$E$12,0)),"m")+1)*'Scenario Toggle'!$E$8,0),Z16),0)</f>
        <v>10</v>
      </c>
    </row>
    <row r="18" spans="1:26" x14ac:dyDescent="0.2">
      <c r="A18" s="32"/>
      <c r="B18" s="33" t="s">
        <v>109</v>
      </c>
      <c r="C18" s="35">
        <f>C17*'Scenario Toggle'!$E$10</f>
        <v>0</v>
      </c>
      <c r="D18" s="35">
        <f>D17*'Scenario Toggle'!$E$10</f>
        <v>0</v>
      </c>
      <c r="E18" s="35">
        <f>E17*'Scenario Toggle'!$E$10</f>
        <v>0</v>
      </c>
      <c r="F18" s="35">
        <f>F17*'Scenario Toggle'!$E$10</f>
        <v>0.2</v>
      </c>
      <c r="G18" s="35">
        <f>G17*'Scenario Toggle'!$E$10</f>
        <v>0.2</v>
      </c>
      <c r="H18" s="35">
        <f>H17*'Scenario Toggle'!$E$10</f>
        <v>0.2</v>
      </c>
      <c r="I18" s="35">
        <f>I17*'Scenario Toggle'!$E$10</f>
        <v>0.2</v>
      </c>
      <c r="J18" s="35">
        <f>J17*'Scenario Toggle'!$E$10</f>
        <v>0.2</v>
      </c>
      <c r="K18" s="35">
        <f>K17*'Scenario Toggle'!$E$10</f>
        <v>0.2</v>
      </c>
      <c r="L18" s="35">
        <f>L17*'Scenario Toggle'!$E$10</f>
        <v>0.2</v>
      </c>
      <c r="M18" s="35">
        <f>M17*'Scenario Toggle'!$E$10</f>
        <v>0.2</v>
      </c>
      <c r="N18" s="35">
        <f>N17*'Scenario Toggle'!$E$10</f>
        <v>0.2</v>
      </c>
      <c r="O18" s="35">
        <f>O17*'Scenario Toggle'!$E$10</f>
        <v>0.2</v>
      </c>
      <c r="P18" s="35">
        <f>P17*'Scenario Toggle'!$E$10</f>
        <v>0.2</v>
      </c>
      <c r="Q18" s="35">
        <f>Q17*'Scenario Toggle'!$E$10</f>
        <v>0.2</v>
      </c>
      <c r="R18" s="35">
        <f>R17*'Scenario Toggle'!$E$10</f>
        <v>0.2</v>
      </c>
      <c r="S18" s="35">
        <f>S17*'Scenario Toggle'!$E$10</f>
        <v>0.2</v>
      </c>
      <c r="T18" s="35">
        <f>T17*'Scenario Toggle'!$E$10</f>
        <v>0.2</v>
      </c>
      <c r="U18" s="35">
        <f>U17*'Scenario Toggle'!$E$10</f>
        <v>0.2</v>
      </c>
      <c r="V18" s="35">
        <f>V17*'Scenario Toggle'!$E$10</f>
        <v>0.2</v>
      </c>
      <c r="W18" s="35">
        <f>W17*'Scenario Toggle'!$E$10</f>
        <v>0.2</v>
      </c>
      <c r="X18" s="35">
        <f>X17*'Scenario Toggle'!$E$10</f>
        <v>0.2</v>
      </c>
      <c r="Y18" s="35">
        <f>Y17*'Scenario Toggle'!$E$10</f>
        <v>0.2</v>
      </c>
      <c r="Z18" s="35">
        <f>Z17*'Scenario Toggle'!$E$10</f>
        <v>0.2</v>
      </c>
    </row>
    <row r="19" spans="1:26" x14ac:dyDescent="0.2">
      <c r="A19" s="32"/>
      <c r="B19" s="33" t="s">
        <v>110</v>
      </c>
      <c r="C19" s="35">
        <f t="shared" ref="C19:Z19" si="7">MAX(0,C17-C18)</f>
        <v>0</v>
      </c>
      <c r="D19" s="35">
        <f t="shared" si="7"/>
        <v>0</v>
      </c>
      <c r="E19" s="35">
        <f t="shared" si="7"/>
        <v>0</v>
      </c>
      <c r="F19" s="35">
        <f t="shared" si="7"/>
        <v>9.8000000000000007</v>
      </c>
      <c r="G19" s="35">
        <f t="shared" si="7"/>
        <v>9.8000000000000007</v>
      </c>
      <c r="H19" s="35">
        <f t="shared" si="7"/>
        <v>9.8000000000000007</v>
      </c>
      <c r="I19" s="35">
        <f t="shared" si="7"/>
        <v>9.8000000000000007</v>
      </c>
      <c r="J19" s="35">
        <f t="shared" si="7"/>
        <v>9.8000000000000007</v>
      </c>
      <c r="K19" s="35">
        <f t="shared" si="7"/>
        <v>9.8000000000000007</v>
      </c>
      <c r="L19" s="35">
        <f t="shared" si="7"/>
        <v>9.8000000000000007</v>
      </c>
      <c r="M19" s="35">
        <f t="shared" si="7"/>
        <v>9.8000000000000007</v>
      </c>
      <c r="N19" s="35">
        <f t="shared" si="7"/>
        <v>9.8000000000000007</v>
      </c>
      <c r="O19" s="35">
        <f t="shared" si="7"/>
        <v>9.8000000000000007</v>
      </c>
      <c r="P19" s="35">
        <f t="shared" si="7"/>
        <v>9.8000000000000007</v>
      </c>
      <c r="Q19" s="35">
        <f t="shared" si="7"/>
        <v>9.8000000000000007</v>
      </c>
      <c r="R19" s="35">
        <f t="shared" si="7"/>
        <v>9.8000000000000007</v>
      </c>
      <c r="S19" s="35">
        <f t="shared" si="7"/>
        <v>9.8000000000000007</v>
      </c>
      <c r="T19" s="35">
        <f t="shared" si="7"/>
        <v>9.8000000000000007</v>
      </c>
      <c r="U19" s="35">
        <f t="shared" si="7"/>
        <v>9.8000000000000007</v>
      </c>
      <c r="V19" s="35">
        <f t="shared" si="7"/>
        <v>9.8000000000000007</v>
      </c>
      <c r="W19" s="35">
        <f t="shared" si="7"/>
        <v>9.8000000000000007</v>
      </c>
      <c r="X19" s="35">
        <f t="shared" si="7"/>
        <v>9.8000000000000007</v>
      </c>
      <c r="Y19" s="35">
        <f t="shared" si="7"/>
        <v>9.8000000000000007</v>
      </c>
      <c r="Z19" s="35">
        <f t="shared" si="7"/>
        <v>9.8000000000000007</v>
      </c>
    </row>
    <row r="20" spans="1:26" x14ac:dyDescent="0.2">
      <c r="A20" s="32"/>
      <c r="B20" s="33" t="s">
        <v>111</v>
      </c>
      <c r="C20" s="17">
        <f>IF(C$3&lt;'Project Database'!$D$6,0,'Project Database'!$G$6*'Project Database'!$H$6*(1+'Scenario Toggle'!$E$9)^DATEDIF('Project Database'!$D$6,C$3,"m"))</f>
        <v>0</v>
      </c>
      <c r="D20" s="17">
        <f>IF(D$3&lt;'Project Database'!$D$6,0,'Project Database'!$G$6*'Project Database'!$H$6*(1+'Scenario Toggle'!$E$9)^DATEDIF('Project Database'!$D$6,D$3,"m"))</f>
        <v>0</v>
      </c>
      <c r="E20" s="17">
        <f>IF(E$3&lt;'Project Database'!$D$6,0,'Project Database'!$G$6*'Project Database'!$H$6*(1+'Scenario Toggle'!$E$9)^DATEDIF('Project Database'!$D$6,E$3,"m"))</f>
        <v>0</v>
      </c>
      <c r="F20" s="17">
        <f>IF(F$3&lt;'Project Database'!$D$6,0,'Project Database'!$G$6*'Project Database'!$H$6*(1+'Scenario Toggle'!$E$9)^DATEDIF('Project Database'!$D$6,F$3,"m"))</f>
        <v>12180000</v>
      </c>
      <c r="G20" s="17">
        <f>IF(G$3&lt;'Project Database'!$D$6,0,'Project Database'!$G$6*'Project Database'!$H$6*(1+'Scenario Toggle'!$E$9)^DATEDIF('Project Database'!$D$6,G$3,"m"))</f>
        <v>12228720</v>
      </c>
      <c r="H20" s="17">
        <f>IF(H$3&lt;'Project Database'!$D$6,0,'Project Database'!$G$6*'Project Database'!$H$6*(1+'Scenario Toggle'!$E$9)^DATEDIF('Project Database'!$D$6,H$3,"m"))</f>
        <v>12277634.880000001</v>
      </c>
      <c r="I20" s="17">
        <f>IF(I$3&lt;'Project Database'!$D$6,0,'Project Database'!$G$6*'Project Database'!$H$6*(1+'Scenario Toggle'!$E$9)^DATEDIF('Project Database'!$D$6,I$3,"m"))</f>
        <v>12326745.41952</v>
      </c>
      <c r="J20" s="17">
        <f>IF(J$3&lt;'Project Database'!$D$6,0,'Project Database'!$G$6*'Project Database'!$H$6*(1+'Scenario Toggle'!$E$9)^DATEDIF('Project Database'!$D$6,J$3,"m"))</f>
        <v>12376052.401198082</v>
      </c>
      <c r="K20" s="17">
        <f>IF(K$3&lt;'Project Database'!$D$6,0,'Project Database'!$G$6*'Project Database'!$H$6*(1+'Scenario Toggle'!$E$9)^DATEDIF('Project Database'!$D$6,K$3,"m"))</f>
        <v>12425556.610802872</v>
      </c>
      <c r="L20" s="17">
        <f>IF(L$3&lt;'Project Database'!$D$6,0,'Project Database'!$G$6*'Project Database'!$H$6*(1+'Scenario Toggle'!$E$9)^DATEDIF('Project Database'!$D$6,L$3,"m"))</f>
        <v>12475258.837246085</v>
      </c>
      <c r="M20" s="17">
        <f>IF(M$3&lt;'Project Database'!$D$6,0,'Project Database'!$G$6*'Project Database'!$H$6*(1+'Scenario Toggle'!$E$9)^DATEDIF('Project Database'!$D$6,M$3,"m"))</f>
        <v>12525159.872595068</v>
      </c>
      <c r="N20" s="17">
        <f>IF(N$3&lt;'Project Database'!$D$6,0,'Project Database'!$G$6*'Project Database'!$H$6*(1+'Scenario Toggle'!$E$9)^DATEDIF('Project Database'!$D$6,N$3,"m"))</f>
        <v>12575260.512085451</v>
      </c>
      <c r="O20" s="17">
        <f>IF(O$3&lt;'Project Database'!$D$6,0,'Project Database'!$G$6*'Project Database'!$H$6*(1+'Scenario Toggle'!$E$9)^DATEDIF('Project Database'!$D$6,O$3,"m"))</f>
        <v>12625561.554133791</v>
      </c>
      <c r="P20" s="17">
        <f>IF(P$3&lt;'Project Database'!$D$6,0,'Project Database'!$G$6*'Project Database'!$H$6*(1+'Scenario Toggle'!$E$9)^DATEDIF('Project Database'!$D$6,P$3,"m"))</f>
        <v>12676063.800350327</v>
      </c>
      <c r="Q20" s="17">
        <f>IF(Q$3&lt;'Project Database'!$D$6,0,'Project Database'!$G$6*'Project Database'!$H$6*(1+'Scenario Toggle'!$E$9)^DATEDIF('Project Database'!$D$6,Q$3,"m"))</f>
        <v>12726768.055551728</v>
      </c>
      <c r="R20" s="17">
        <f>IF(R$3&lt;'Project Database'!$D$6,0,'Project Database'!$G$6*'Project Database'!$H$6*(1+'Scenario Toggle'!$E$9)^DATEDIF('Project Database'!$D$6,R$3,"m"))</f>
        <v>12777675.127773937</v>
      </c>
      <c r="S20" s="17">
        <f>IF(S$3&lt;'Project Database'!$D$6,0,'Project Database'!$G$6*'Project Database'!$H$6*(1+'Scenario Toggle'!$E$9)^DATEDIF('Project Database'!$D$6,S$3,"m"))</f>
        <v>12828785.828285033</v>
      </c>
      <c r="T20" s="17">
        <f>IF(T$3&lt;'Project Database'!$D$6,0,'Project Database'!$G$6*'Project Database'!$H$6*(1+'Scenario Toggle'!$E$9)^DATEDIF('Project Database'!$D$6,T$3,"m"))</f>
        <v>12880100.971598173</v>
      </c>
      <c r="U20" s="17">
        <f>IF(U$3&lt;'Project Database'!$D$6,0,'Project Database'!$G$6*'Project Database'!$H$6*(1+'Scenario Toggle'!$E$9)^DATEDIF('Project Database'!$D$6,U$3,"m"))</f>
        <v>12931621.375484565</v>
      </c>
      <c r="V20" s="17">
        <f>IF(V$3&lt;'Project Database'!$D$6,0,'Project Database'!$G$6*'Project Database'!$H$6*(1+'Scenario Toggle'!$E$9)^DATEDIF('Project Database'!$D$6,V$3,"m"))</f>
        <v>12983347.860986505</v>
      </c>
      <c r="W20" s="17">
        <f>IF(W$3&lt;'Project Database'!$D$6,0,'Project Database'!$G$6*'Project Database'!$H$6*(1+'Scenario Toggle'!$E$9)^DATEDIF('Project Database'!$D$6,W$3,"m"))</f>
        <v>13035281.25243045</v>
      </c>
      <c r="X20" s="17">
        <f>IF(X$3&lt;'Project Database'!$D$6,0,'Project Database'!$G$6*'Project Database'!$H$6*(1+'Scenario Toggle'!$E$9)^DATEDIF('Project Database'!$D$6,X$3,"m"))</f>
        <v>13087422.377440173</v>
      </c>
      <c r="Y20" s="17">
        <f>IF(Y$3&lt;'Project Database'!$D$6,0,'Project Database'!$G$6*'Project Database'!$H$6*(1+'Scenario Toggle'!$E$9)^DATEDIF('Project Database'!$D$6,Y$3,"m"))</f>
        <v>13139772.066949932</v>
      </c>
      <c r="Z20" s="17">
        <f>IF(Z$3&lt;'Project Database'!$D$6,0,'Project Database'!$G$6*'Project Database'!$H$6*(1+'Scenario Toggle'!$E$9)^DATEDIF('Project Database'!$D$6,Z$3,"m"))</f>
        <v>13192331.155217733</v>
      </c>
    </row>
    <row r="21" spans="1:26" x14ac:dyDescent="0.2">
      <c r="A21" s="32"/>
      <c r="B21" s="33" t="s">
        <v>112</v>
      </c>
      <c r="C21" s="17">
        <f t="shared" ref="C21:Z21" si="8">C19*C20</f>
        <v>0</v>
      </c>
      <c r="D21" s="17">
        <f t="shared" si="8"/>
        <v>0</v>
      </c>
      <c r="E21" s="17">
        <f t="shared" si="8"/>
        <v>0</v>
      </c>
      <c r="F21" s="17">
        <f t="shared" si="8"/>
        <v>119364000.00000001</v>
      </c>
      <c r="G21" s="17">
        <f t="shared" si="8"/>
        <v>119841456.00000001</v>
      </c>
      <c r="H21" s="17">
        <f t="shared" si="8"/>
        <v>120320821.82400002</v>
      </c>
      <c r="I21" s="17">
        <f t="shared" si="8"/>
        <v>120802105.11129601</v>
      </c>
      <c r="J21" s="17">
        <f t="shared" si="8"/>
        <v>121285313.5317412</v>
      </c>
      <c r="K21" s="17">
        <f t="shared" si="8"/>
        <v>121770454.78586815</v>
      </c>
      <c r="L21" s="17">
        <f t="shared" si="8"/>
        <v>122257536.60501164</v>
      </c>
      <c r="M21" s="17">
        <f t="shared" si="8"/>
        <v>122746566.75143167</v>
      </c>
      <c r="N21" s="17">
        <f t="shared" si="8"/>
        <v>123237553.01843743</v>
      </c>
      <c r="O21" s="17">
        <f t="shared" si="8"/>
        <v>123730503.23051116</v>
      </c>
      <c r="P21" s="17">
        <f t="shared" si="8"/>
        <v>124225425.24343321</v>
      </c>
      <c r="Q21" s="17">
        <f t="shared" si="8"/>
        <v>124722326.94440694</v>
      </c>
      <c r="R21" s="17">
        <f t="shared" si="8"/>
        <v>125221216.25218458</v>
      </c>
      <c r="S21" s="17">
        <f t="shared" si="8"/>
        <v>125722101.11719333</v>
      </c>
      <c r="T21" s="17">
        <f t="shared" si="8"/>
        <v>126224989.5216621</v>
      </c>
      <c r="U21" s="17">
        <f t="shared" si="8"/>
        <v>126729889.47974876</v>
      </c>
      <c r="V21" s="17">
        <f t="shared" si="8"/>
        <v>127236809.03766775</v>
      </c>
      <c r="W21" s="17">
        <f t="shared" si="8"/>
        <v>127745756.27381842</v>
      </c>
      <c r="X21" s="17">
        <f t="shared" si="8"/>
        <v>128256739.2989137</v>
      </c>
      <c r="Y21" s="17">
        <f t="shared" si="8"/>
        <v>128769766.25610934</v>
      </c>
      <c r="Z21" s="17">
        <f t="shared" si="8"/>
        <v>129284845.32113379</v>
      </c>
    </row>
    <row r="22" spans="1:26" x14ac:dyDescent="0.2">
      <c r="A22" s="30" t="s">
        <v>101</v>
      </c>
      <c r="B22" s="30" t="s">
        <v>107</v>
      </c>
      <c r="C22" s="31">
        <f>'Project Database'!$C$7</f>
        <v>140</v>
      </c>
      <c r="D22" s="30">
        <f t="shared" ref="D22:Z22" si="9">C22-C25</f>
        <v>140</v>
      </c>
      <c r="E22" s="30">
        <f t="shared" si="9"/>
        <v>140</v>
      </c>
      <c r="F22" s="30">
        <f t="shared" si="9"/>
        <v>133.13999999999999</v>
      </c>
      <c r="G22" s="30">
        <f t="shared" si="9"/>
        <v>126.27999999999999</v>
      </c>
      <c r="H22" s="30">
        <f t="shared" si="9"/>
        <v>119.41999999999999</v>
      </c>
      <c r="I22" s="30">
        <f t="shared" si="9"/>
        <v>112.55999999999999</v>
      </c>
      <c r="J22" s="30">
        <f t="shared" si="9"/>
        <v>105.69999999999999</v>
      </c>
      <c r="K22" s="30">
        <f t="shared" si="9"/>
        <v>98.839999999999989</v>
      </c>
      <c r="L22" s="30">
        <f t="shared" si="9"/>
        <v>91.97999999999999</v>
      </c>
      <c r="M22" s="30">
        <f t="shared" si="9"/>
        <v>85.11999999999999</v>
      </c>
      <c r="N22" s="30">
        <f t="shared" si="9"/>
        <v>78.259999999999991</v>
      </c>
      <c r="O22" s="30">
        <f t="shared" si="9"/>
        <v>71.399999999999991</v>
      </c>
      <c r="P22" s="30">
        <f t="shared" si="9"/>
        <v>64.539999999999992</v>
      </c>
      <c r="Q22" s="30">
        <f t="shared" si="9"/>
        <v>57.679999999999993</v>
      </c>
      <c r="R22" s="30">
        <f t="shared" si="9"/>
        <v>50.819999999999993</v>
      </c>
      <c r="S22" s="30">
        <f t="shared" si="9"/>
        <v>43.959999999999994</v>
      </c>
      <c r="T22" s="30">
        <f t="shared" si="9"/>
        <v>37.099999999999994</v>
      </c>
      <c r="U22" s="30">
        <f t="shared" si="9"/>
        <v>30.239999999999995</v>
      </c>
      <c r="V22" s="30">
        <f t="shared" si="9"/>
        <v>23.379999999999995</v>
      </c>
      <c r="W22" s="30">
        <f t="shared" si="9"/>
        <v>16.519999999999996</v>
      </c>
      <c r="X22" s="30">
        <f t="shared" si="9"/>
        <v>9.6599999999999966</v>
      </c>
      <c r="Y22" s="30">
        <f t="shared" si="9"/>
        <v>2.7999999999999963</v>
      </c>
      <c r="Z22" s="30">
        <f t="shared" si="9"/>
        <v>5.600000000000005E-2</v>
      </c>
    </row>
    <row r="23" spans="1:26" x14ac:dyDescent="0.2">
      <c r="A23" s="32"/>
      <c r="B23" s="33" t="s">
        <v>108</v>
      </c>
      <c r="C23" s="34">
        <f>IF(AND(C$3&gt;='Project Database'!$D$7,C$3&lt;=EDATE('Project Database'!$E$7,ROUND('Scenario Toggle'!$E$12,0))),MIN(ROUND('Project Database'!$C$7/MAX(1,DATEDIF('Project Database'!$D$7,EDATE('Project Database'!$E$7,ROUND('Scenario Toggle'!$E$12,0)),"m")+1)*'Scenario Toggle'!$E$8,0),C22),0)</f>
        <v>0</v>
      </c>
      <c r="D23" s="34">
        <f>IF(AND(D$3&gt;='Project Database'!$D$7,D$3&lt;=EDATE('Project Database'!$E$7,ROUND('Scenario Toggle'!$E$12,0))),MIN(ROUND('Project Database'!$C$7/MAX(1,DATEDIF('Project Database'!$D$7,EDATE('Project Database'!$E$7,ROUND('Scenario Toggle'!$E$12,0)),"m")+1)*'Scenario Toggle'!$E$8,0),D22),0)</f>
        <v>0</v>
      </c>
      <c r="E23" s="34">
        <f>IF(AND(E$3&gt;='Project Database'!$D$7,E$3&lt;=EDATE('Project Database'!$E$7,ROUND('Scenario Toggle'!$E$12,0))),MIN(ROUND('Project Database'!$C$7/MAX(1,DATEDIF('Project Database'!$D$7,EDATE('Project Database'!$E$7,ROUND('Scenario Toggle'!$E$12,0)),"m")+1)*'Scenario Toggle'!$E$8,0),E22),0)</f>
        <v>7</v>
      </c>
      <c r="F23" s="34">
        <f>IF(AND(F$3&gt;='Project Database'!$D$7,F$3&lt;=EDATE('Project Database'!$E$7,ROUND('Scenario Toggle'!$E$12,0))),MIN(ROUND('Project Database'!$C$7/MAX(1,DATEDIF('Project Database'!$D$7,EDATE('Project Database'!$E$7,ROUND('Scenario Toggle'!$E$12,0)),"m")+1)*'Scenario Toggle'!$E$8,0),F22),0)</f>
        <v>7</v>
      </c>
      <c r="G23" s="34">
        <f>IF(AND(G$3&gt;='Project Database'!$D$7,G$3&lt;=EDATE('Project Database'!$E$7,ROUND('Scenario Toggle'!$E$12,0))),MIN(ROUND('Project Database'!$C$7/MAX(1,DATEDIF('Project Database'!$D$7,EDATE('Project Database'!$E$7,ROUND('Scenario Toggle'!$E$12,0)),"m")+1)*'Scenario Toggle'!$E$8,0),G22),0)</f>
        <v>7</v>
      </c>
      <c r="H23" s="34">
        <f>IF(AND(H$3&gt;='Project Database'!$D$7,H$3&lt;=EDATE('Project Database'!$E$7,ROUND('Scenario Toggle'!$E$12,0))),MIN(ROUND('Project Database'!$C$7/MAX(1,DATEDIF('Project Database'!$D$7,EDATE('Project Database'!$E$7,ROUND('Scenario Toggle'!$E$12,0)),"m")+1)*'Scenario Toggle'!$E$8,0),H22),0)</f>
        <v>7</v>
      </c>
      <c r="I23" s="34">
        <f>IF(AND(I$3&gt;='Project Database'!$D$7,I$3&lt;=EDATE('Project Database'!$E$7,ROUND('Scenario Toggle'!$E$12,0))),MIN(ROUND('Project Database'!$C$7/MAX(1,DATEDIF('Project Database'!$D$7,EDATE('Project Database'!$E$7,ROUND('Scenario Toggle'!$E$12,0)),"m")+1)*'Scenario Toggle'!$E$8,0),I22),0)</f>
        <v>7</v>
      </c>
      <c r="J23" s="34">
        <f>IF(AND(J$3&gt;='Project Database'!$D$7,J$3&lt;=EDATE('Project Database'!$E$7,ROUND('Scenario Toggle'!$E$12,0))),MIN(ROUND('Project Database'!$C$7/MAX(1,DATEDIF('Project Database'!$D$7,EDATE('Project Database'!$E$7,ROUND('Scenario Toggle'!$E$12,0)),"m")+1)*'Scenario Toggle'!$E$8,0),J22),0)</f>
        <v>7</v>
      </c>
      <c r="K23" s="34">
        <f>IF(AND(K$3&gt;='Project Database'!$D$7,K$3&lt;=EDATE('Project Database'!$E$7,ROUND('Scenario Toggle'!$E$12,0))),MIN(ROUND('Project Database'!$C$7/MAX(1,DATEDIF('Project Database'!$D$7,EDATE('Project Database'!$E$7,ROUND('Scenario Toggle'!$E$12,0)),"m")+1)*'Scenario Toggle'!$E$8,0),K22),0)</f>
        <v>7</v>
      </c>
      <c r="L23" s="34">
        <f>IF(AND(L$3&gt;='Project Database'!$D$7,L$3&lt;=EDATE('Project Database'!$E$7,ROUND('Scenario Toggle'!$E$12,0))),MIN(ROUND('Project Database'!$C$7/MAX(1,DATEDIF('Project Database'!$D$7,EDATE('Project Database'!$E$7,ROUND('Scenario Toggle'!$E$12,0)),"m")+1)*'Scenario Toggle'!$E$8,0),L22),0)</f>
        <v>7</v>
      </c>
      <c r="M23" s="34">
        <f>IF(AND(M$3&gt;='Project Database'!$D$7,M$3&lt;=EDATE('Project Database'!$E$7,ROUND('Scenario Toggle'!$E$12,0))),MIN(ROUND('Project Database'!$C$7/MAX(1,DATEDIF('Project Database'!$D$7,EDATE('Project Database'!$E$7,ROUND('Scenario Toggle'!$E$12,0)),"m")+1)*'Scenario Toggle'!$E$8,0),M22),0)</f>
        <v>7</v>
      </c>
      <c r="N23" s="34">
        <f>IF(AND(N$3&gt;='Project Database'!$D$7,N$3&lt;=EDATE('Project Database'!$E$7,ROUND('Scenario Toggle'!$E$12,0))),MIN(ROUND('Project Database'!$C$7/MAX(1,DATEDIF('Project Database'!$D$7,EDATE('Project Database'!$E$7,ROUND('Scenario Toggle'!$E$12,0)),"m")+1)*'Scenario Toggle'!$E$8,0),N22),0)</f>
        <v>7</v>
      </c>
      <c r="O23" s="34">
        <f>IF(AND(O$3&gt;='Project Database'!$D$7,O$3&lt;=EDATE('Project Database'!$E$7,ROUND('Scenario Toggle'!$E$12,0))),MIN(ROUND('Project Database'!$C$7/MAX(1,DATEDIF('Project Database'!$D$7,EDATE('Project Database'!$E$7,ROUND('Scenario Toggle'!$E$12,0)),"m")+1)*'Scenario Toggle'!$E$8,0),O22),0)</f>
        <v>7</v>
      </c>
      <c r="P23" s="34">
        <f>IF(AND(P$3&gt;='Project Database'!$D$7,P$3&lt;=EDATE('Project Database'!$E$7,ROUND('Scenario Toggle'!$E$12,0))),MIN(ROUND('Project Database'!$C$7/MAX(1,DATEDIF('Project Database'!$D$7,EDATE('Project Database'!$E$7,ROUND('Scenario Toggle'!$E$12,0)),"m")+1)*'Scenario Toggle'!$E$8,0),P22),0)</f>
        <v>7</v>
      </c>
      <c r="Q23" s="34">
        <f>IF(AND(Q$3&gt;='Project Database'!$D$7,Q$3&lt;=EDATE('Project Database'!$E$7,ROUND('Scenario Toggle'!$E$12,0))),MIN(ROUND('Project Database'!$C$7/MAX(1,DATEDIF('Project Database'!$D$7,EDATE('Project Database'!$E$7,ROUND('Scenario Toggle'!$E$12,0)),"m")+1)*'Scenario Toggle'!$E$8,0),Q22),0)</f>
        <v>7</v>
      </c>
      <c r="R23" s="34">
        <f>IF(AND(R$3&gt;='Project Database'!$D$7,R$3&lt;=EDATE('Project Database'!$E$7,ROUND('Scenario Toggle'!$E$12,0))),MIN(ROUND('Project Database'!$C$7/MAX(1,DATEDIF('Project Database'!$D$7,EDATE('Project Database'!$E$7,ROUND('Scenario Toggle'!$E$12,0)),"m")+1)*'Scenario Toggle'!$E$8,0),R22),0)</f>
        <v>7</v>
      </c>
      <c r="S23" s="34">
        <f>IF(AND(S$3&gt;='Project Database'!$D$7,S$3&lt;=EDATE('Project Database'!$E$7,ROUND('Scenario Toggle'!$E$12,0))),MIN(ROUND('Project Database'!$C$7/MAX(1,DATEDIF('Project Database'!$D$7,EDATE('Project Database'!$E$7,ROUND('Scenario Toggle'!$E$12,0)),"m")+1)*'Scenario Toggle'!$E$8,0),S22),0)</f>
        <v>7</v>
      </c>
      <c r="T23" s="34">
        <f>IF(AND(T$3&gt;='Project Database'!$D$7,T$3&lt;=EDATE('Project Database'!$E$7,ROUND('Scenario Toggle'!$E$12,0))),MIN(ROUND('Project Database'!$C$7/MAX(1,DATEDIF('Project Database'!$D$7,EDATE('Project Database'!$E$7,ROUND('Scenario Toggle'!$E$12,0)),"m")+1)*'Scenario Toggle'!$E$8,0),T22),0)</f>
        <v>7</v>
      </c>
      <c r="U23" s="34">
        <f>IF(AND(U$3&gt;='Project Database'!$D$7,U$3&lt;=EDATE('Project Database'!$E$7,ROUND('Scenario Toggle'!$E$12,0))),MIN(ROUND('Project Database'!$C$7/MAX(1,DATEDIF('Project Database'!$D$7,EDATE('Project Database'!$E$7,ROUND('Scenario Toggle'!$E$12,0)),"m")+1)*'Scenario Toggle'!$E$8,0),U22),0)</f>
        <v>7</v>
      </c>
      <c r="V23" s="34">
        <f>IF(AND(V$3&gt;='Project Database'!$D$7,V$3&lt;=EDATE('Project Database'!$E$7,ROUND('Scenario Toggle'!$E$12,0))),MIN(ROUND('Project Database'!$C$7/MAX(1,DATEDIF('Project Database'!$D$7,EDATE('Project Database'!$E$7,ROUND('Scenario Toggle'!$E$12,0)),"m")+1)*'Scenario Toggle'!$E$8,0),V22),0)</f>
        <v>7</v>
      </c>
      <c r="W23" s="34">
        <f>IF(AND(W$3&gt;='Project Database'!$D$7,W$3&lt;=EDATE('Project Database'!$E$7,ROUND('Scenario Toggle'!$E$12,0))),MIN(ROUND('Project Database'!$C$7/MAX(1,DATEDIF('Project Database'!$D$7,EDATE('Project Database'!$E$7,ROUND('Scenario Toggle'!$E$12,0)),"m")+1)*'Scenario Toggle'!$E$8,0),W22),0)</f>
        <v>7</v>
      </c>
      <c r="X23" s="34">
        <f>IF(AND(X$3&gt;='Project Database'!$D$7,X$3&lt;=EDATE('Project Database'!$E$7,ROUND('Scenario Toggle'!$E$12,0))),MIN(ROUND('Project Database'!$C$7/MAX(1,DATEDIF('Project Database'!$D$7,EDATE('Project Database'!$E$7,ROUND('Scenario Toggle'!$E$12,0)),"m")+1)*'Scenario Toggle'!$E$8,0),X22),0)</f>
        <v>7</v>
      </c>
      <c r="Y23" s="34">
        <f>IF(AND(Y$3&gt;='Project Database'!$D$7,Y$3&lt;=EDATE('Project Database'!$E$7,ROUND('Scenario Toggle'!$E$12,0))),MIN(ROUND('Project Database'!$C$7/MAX(1,DATEDIF('Project Database'!$D$7,EDATE('Project Database'!$E$7,ROUND('Scenario Toggle'!$E$12,0)),"m")+1)*'Scenario Toggle'!$E$8,0),Y22),0)</f>
        <v>2.7999999999999963</v>
      </c>
      <c r="Z23" s="34">
        <f>IF(AND(Z$3&gt;='Project Database'!$D$7,Z$3&lt;=EDATE('Project Database'!$E$7,ROUND('Scenario Toggle'!$E$12,0))),MIN(ROUND('Project Database'!$C$7/MAX(1,DATEDIF('Project Database'!$D$7,EDATE('Project Database'!$E$7,ROUND('Scenario Toggle'!$E$12,0)),"m")+1)*'Scenario Toggle'!$E$8,0),Z22),0)</f>
        <v>0</v>
      </c>
    </row>
    <row r="24" spans="1:26" x14ac:dyDescent="0.2">
      <c r="A24" s="32"/>
      <c r="B24" s="33" t="s">
        <v>109</v>
      </c>
      <c r="C24" s="35">
        <f>C23*'Scenario Toggle'!$E$10</f>
        <v>0</v>
      </c>
      <c r="D24" s="35">
        <f>D23*'Scenario Toggle'!$E$10</f>
        <v>0</v>
      </c>
      <c r="E24" s="35">
        <f>E23*'Scenario Toggle'!$E$10</f>
        <v>0.14000000000000001</v>
      </c>
      <c r="F24" s="35">
        <f>F23*'Scenario Toggle'!$E$10</f>
        <v>0.14000000000000001</v>
      </c>
      <c r="G24" s="35">
        <f>G23*'Scenario Toggle'!$E$10</f>
        <v>0.14000000000000001</v>
      </c>
      <c r="H24" s="35">
        <f>H23*'Scenario Toggle'!$E$10</f>
        <v>0.14000000000000001</v>
      </c>
      <c r="I24" s="35">
        <f>I23*'Scenario Toggle'!$E$10</f>
        <v>0.14000000000000001</v>
      </c>
      <c r="J24" s="35">
        <f>J23*'Scenario Toggle'!$E$10</f>
        <v>0.14000000000000001</v>
      </c>
      <c r="K24" s="35">
        <f>K23*'Scenario Toggle'!$E$10</f>
        <v>0.14000000000000001</v>
      </c>
      <c r="L24" s="35">
        <f>L23*'Scenario Toggle'!$E$10</f>
        <v>0.14000000000000001</v>
      </c>
      <c r="M24" s="35">
        <f>M23*'Scenario Toggle'!$E$10</f>
        <v>0.14000000000000001</v>
      </c>
      <c r="N24" s="35">
        <f>N23*'Scenario Toggle'!$E$10</f>
        <v>0.14000000000000001</v>
      </c>
      <c r="O24" s="35">
        <f>O23*'Scenario Toggle'!$E$10</f>
        <v>0.14000000000000001</v>
      </c>
      <c r="P24" s="35">
        <f>P23*'Scenario Toggle'!$E$10</f>
        <v>0.14000000000000001</v>
      </c>
      <c r="Q24" s="35">
        <f>Q23*'Scenario Toggle'!$E$10</f>
        <v>0.14000000000000001</v>
      </c>
      <c r="R24" s="35">
        <f>R23*'Scenario Toggle'!$E$10</f>
        <v>0.14000000000000001</v>
      </c>
      <c r="S24" s="35">
        <f>S23*'Scenario Toggle'!$E$10</f>
        <v>0.14000000000000001</v>
      </c>
      <c r="T24" s="35">
        <f>T23*'Scenario Toggle'!$E$10</f>
        <v>0.14000000000000001</v>
      </c>
      <c r="U24" s="35">
        <f>U23*'Scenario Toggle'!$E$10</f>
        <v>0.14000000000000001</v>
      </c>
      <c r="V24" s="35">
        <f>V23*'Scenario Toggle'!$E$10</f>
        <v>0.14000000000000001</v>
      </c>
      <c r="W24" s="35">
        <f>W23*'Scenario Toggle'!$E$10</f>
        <v>0.14000000000000001</v>
      </c>
      <c r="X24" s="35">
        <f>X23*'Scenario Toggle'!$E$10</f>
        <v>0.14000000000000001</v>
      </c>
      <c r="Y24" s="35">
        <f>Y23*'Scenario Toggle'!$E$10</f>
        <v>5.5999999999999925E-2</v>
      </c>
      <c r="Z24" s="35">
        <f>Z23*'Scenario Toggle'!$E$10</f>
        <v>0</v>
      </c>
    </row>
    <row r="25" spans="1:26" x14ac:dyDescent="0.2">
      <c r="A25" s="32"/>
      <c r="B25" s="33" t="s">
        <v>110</v>
      </c>
      <c r="C25" s="35">
        <f t="shared" ref="C25:Z25" si="10">MAX(0,C23-C24)</f>
        <v>0</v>
      </c>
      <c r="D25" s="35">
        <f t="shared" si="10"/>
        <v>0</v>
      </c>
      <c r="E25" s="35">
        <f t="shared" si="10"/>
        <v>6.86</v>
      </c>
      <c r="F25" s="35">
        <f t="shared" si="10"/>
        <v>6.86</v>
      </c>
      <c r="G25" s="35">
        <f t="shared" si="10"/>
        <v>6.86</v>
      </c>
      <c r="H25" s="35">
        <f t="shared" si="10"/>
        <v>6.86</v>
      </c>
      <c r="I25" s="35">
        <f t="shared" si="10"/>
        <v>6.86</v>
      </c>
      <c r="J25" s="35">
        <f t="shared" si="10"/>
        <v>6.86</v>
      </c>
      <c r="K25" s="35">
        <f t="shared" si="10"/>
        <v>6.86</v>
      </c>
      <c r="L25" s="35">
        <f t="shared" si="10"/>
        <v>6.86</v>
      </c>
      <c r="M25" s="35">
        <f t="shared" si="10"/>
        <v>6.86</v>
      </c>
      <c r="N25" s="35">
        <f t="shared" si="10"/>
        <v>6.86</v>
      </c>
      <c r="O25" s="35">
        <f t="shared" si="10"/>
        <v>6.86</v>
      </c>
      <c r="P25" s="35">
        <f t="shared" si="10"/>
        <v>6.86</v>
      </c>
      <c r="Q25" s="35">
        <f t="shared" si="10"/>
        <v>6.86</v>
      </c>
      <c r="R25" s="35">
        <f t="shared" si="10"/>
        <v>6.86</v>
      </c>
      <c r="S25" s="35">
        <f t="shared" si="10"/>
        <v>6.86</v>
      </c>
      <c r="T25" s="35">
        <f t="shared" si="10"/>
        <v>6.86</v>
      </c>
      <c r="U25" s="35">
        <f t="shared" si="10"/>
        <v>6.86</v>
      </c>
      <c r="V25" s="35">
        <f t="shared" si="10"/>
        <v>6.86</v>
      </c>
      <c r="W25" s="35">
        <f t="shared" si="10"/>
        <v>6.86</v>
      </c>
      <c r="X25" s="35">
        <f t="shared" si="10"/>
        <v>6.86</v>
      </c>
      <c r="Y25" s="35">
        <f t="shared" si="10"/>
        <v>2.7439999999999962</v>
      </c>
      <c r="Z25" s="35">
        <f t="shared" si="10"/>
        <v>0</v>
      </c>
    </row>
    <row r="26" spans="1:26" x14ac:dyDescent="0.2">
      <c r="A26" s="32"/>
      <c r="B26" s="33" t="s">
        <v>111</v>
      </c>
      <c r="C26" s="17">
        <f>IF(C$3&lt;'Project Database'!$D$7,0,'Project Database'!$G$7*'Project Database'!$H$7*(1+'Scenario Toggle'!$E$9)^DATEDIF('Project Database'!$D$7,C$3,"m"))</f>
        <v>0</v>
      </c>
      <c r="D26" s="17">
        <f>IF(D$3&lt;'Project Database'!$D$7,0,'Project Database'!$G$7*'Project Database'!$H$7*(1+'Scenario Toggle'!$E$9)^DATEDIF('Project Database'!$D$7,D$3,"m"))</f>
        <v>0</v>
      </c>
      <c r="E26" s="17">
        <f>IF(E$3&lt;'Project Database'!$D$7,0,'Project Database'!$G$7*'Project Database'!$H$7*(1+'Scenario Toggle'!$E$9)^DATEDIF('Project Database'!$D$7,E$3,"m"))</f>
        <v>10140000</v>
      </c>
      <c r="F26" s="17">
        <f>IF(F$3&lt;'Project Database'!$D$7,0,'Project Database'!$G$7*'Project Database'!$H$7*(1+'Scenario Toggle'!$E$9)^DATEDIF('Project Database'!$D$7,F$3,"m"))</f>
        <v>10180560</v>
      </c>
      <c r="G26" s="17">
        <f>IF(G$3&lt;'Project Database'!$D$7,0,'Project Database'!$G$7*'Project Database'!$H$7*(1+'Scenario Toggle'!$E$9)^DATEDIF('Project Database'!$D$7,G$3,"m"))</f>
        <v>10221282.24</v>
      </c>
      <c r="H26" s="17">
        <f>IF(H$3&lt;'Project Database'!$D$7,0,'Project Database'!$G$7*'Project Database'!$H$7*(1+'Scenario Toggle'!$E$9)^DATEDIF('Project Database'!$D$7,H$3,"m"))</f>
        <v>10262167.368960001</v>
      </c>
      <c r="I26" s="17">
        <f>IF(I$3&lt;'Project Database'!$D$7,0,'Project Database'!$G$7*'Project Database'!$H$7*(1+'Scenario Toggle'!$E$9)^DATEDIF('Project Database'!$D$7,I$3,"m"))</f>
        <v>10303216.038435841</v>
      </c>
      <c r="J26" s="17">
        <f>IF(J$3&lt;'Project Database'!$D$7,0,'Project Database'!$G$7*'Project Database'!$H$7*(1+'Scenario Toggle'!$E$9)^DATEDIF('Project Database'!$D$7,J$3,"m"))</f>
        <v>10344428.902589584</v>
      </c>
      <c r="K26" s="17">
        <f>IF(K$3&lt;'Project Database'!$D$7,0,'Project Database'!$G$7*'Project Database'!$H$7*(1+'Scenario Toggle'!$E$9)^DATEDIF('Project Database'!$D$7,K$3,"m"))</f>
        <v>10385806.618199943</v>
      </c>
      <c r="L26" s="17">
        <f>IF(L$3&lt;'Project Database'!$D$7,0,'Project Database'!$G$7*'Project Database'!$H$7*(1+'Scenario Toggle'!$E$9)^DATEDIF('Project Database'!$D$7,L$3,"m"))</f>
        <v>10427349.844672741</v>
      </c>
      <c r="M26" s="17">
        <f>IF(M$3&lt;'Project Database'!$D$7,0,'Project Database'!$G$7*'Project Database'!$H$7*(1+'Scenario Toggle'!$E$9)^DATEDIF('Project Database'!$D$7,M$3,"m"))</f>
        <v>10469059.244051434</v>
      </c>
      <c r="N26" s="17">
        <f>IF(N$3&lt;'Project Database'!$D$7,0,'Project Database'!$G$7*'Project Database'!$H$7*(1+'Scenario Toggle'!$E$9)^DATEDIF('Project Database'!$D$7,N$3,"m"))</f>
        <v>10510935.48102764</v>
      </c>
      <c r="O26" s="17">
        <f>IF(O$3&lt;'Project Database'!$D$7,0,'Project Database'!$G$7*'Project Database'!$H$7*(1+'Scenario Toggle'!$E$9)^DATEDIF('Project Database'!$D$7,O$3,"m"))</f>
        <v>10552979.222951749</v>
      </c>
      <c r="P26" s="17">
        <f>IF(P$3&lt;'Project Database'!$D$7,0,'Project Database'!$G$7*'Project Database'!$H$7*(1+'Scenario Toggle'!$E$9)^DATEDIF('Project Database'!$D$7,P$3,"m"))</f>
        <v>10595191.139843557</v>
      </c>
      <c r="Q26" s="17">
        <f>IF(Q$3&lt;'Project Database'!$D$7,0,'Project Database'!$G$7*'Project Database'!$H$7*(1+'Scenario Toggle'!$E$9)^DATEDIF('Project Database'!$D$7,Q$3,"m"))</f>
        <v>10637571.904402932</v>
      </c>
      <c r="R26" s="17">
        <f>IF(R$3&lt;'Project Database'!$D$7,0,'Project Database'!$G$7*'Project Database'!$H$7*(1+'Scenario Toggle'!$E$9)^DATEDIF('Project Database'!$D$7,R$3,"m"))</f>
        <v>10680122.192020545</v>
      </c>
      <c r="S26" s="17">
        <f>IF(S$3&lt;'Project Database'!$D$7,0,'Project Database'!$G$7*'Project Database'!$H$7*(1+'Scenario Toggle'!$E$9)^DATEDIF('Project Database'!$D$7,S$3,"m"))</f>
        <v>10722842.680788627</v>
      </c>
      <c r="T26" s="17">
        <f>IF(T$3&lt;'Project Database'!$D$7,0,'Project Database'!$G$7*'Project Database'!$H$7*(1+'Scenario Toggle'!$E$9)^DATEDIF('Project Database'!$D$7,T$3,"m"))</f>
        <v>10765734.051511781</v>
      </c>
      <c r="U26" s="17">
        <f>IF(U$3&lt;'Project Database'!$D$7,0,'Project Database'!$G$7*'Project Database'!$H$7*(1+'Scenario Toggle'!$E$9)^DATEDIF('Project Database'!$D$7,U$3,"m"))</f>
        <v>10808796.98771783</v>
      </c>
      <c r="V26" s="17">
        <f>IF(V$3&lt;'Project Database'!$D$7,0,'Project Database'!$G$7*'Project Database'!$H$7*(1+'Scenario Toggle'!$E$9)^DATEDIF('Project Database'!$D$7,V$3,"m"))</f>
        <v>10852032.175668702</v>
      </c>
      <c r="W26" s="17">
        <f>IF(W$3&lt;'Project Database'!$D$7,0,'Project Database'!$G$7*'Project Database'!$H$7*(1+'Scenario Toggle'!$E$9)^DATEDIF('Project Database'!$D$7,W$3,"m"))</f>
        <v>10895440.304371376</v>
      </c>
      <c r="X26" s="17">
        <f>IF(X$3&lt;'Project Database'!$D$7,0,'Project Database'!$G$7*'Project Database'!$H$7*(1+'Scenario Toggle'!$E$9)^DATEDIF('Project Database'!$D$7,X$3,"m"))</f>
        <v>10939022.06558886</v>
      </c>
      <c r="Y26" s="17">
        <f>IF(Y$3&lt;'Project Database'!$D$7,0,'Project Database'!$G$7*'Project Database'!$H$7*(1+'Scenario Toggle'!$E$9)^DATEDIF('Project Database'!$D$7,Y$3,"m"))</f>
        <v>10982778.153851217</v>
      </c>
      <c r="Z26" s="17">
        <f>IF(Z$3&lt;'Project Database'!$D$7,0,'Project Database'!$G$7*'Project Database'!$H$7*(1+'Scenario Toggle'!$E$9)^DATEDIF('Project Database'!$D$7,Z$3,"m"))</f>
        <v>11026709.266466619</v>
      </c>
    </row>
    <row r="27" spans="1:26" x14ac:dyDescent="0.2">
      <c r="A27" s="32"/>
      <c r="B27" s="33" t="s">
        <v>112</v>
      </c>
      <c r="C27" s="17">
        <f t="shared" ref="C27:Z27" si="11">C25*C26</f>
        <v>0</v>
      </c>
      <c r="D27" s="17">
        <f t="shared" si="11"/>
        <v>0</v>
      </c>
      <c r="E27" s="17">
        <f t="shared" si="11"/>
        <v>69560400</v>
      </c>
      <c r="F27" s="17">
        <f t="shared" si="11"/>
        <v>69838641.600000009</v>
      </c>
      <c r="G27" s="17">
        <f t="shared" si="11"/>
        <v>70117996.1664</v>
      </c>
      <c r="H27" s="17">
        <f t="shared" si="11"/>
        <v>70398468.151065603</v>
      </c>
      <c r="I27" s="17">
        <f t="shared" si="11"/>
        <v>70680062.023669869</v>
      </c>
      <c r="J27" s="17">
        <f t="shared" si="11"/>
        <v>70962782.271764547</v>
      </c>
      <c r="K27" s="17">
        <f t="shared" si="11"/>
        <v>71246633.400851607</v>
      </c>
      <c r="L27" s="17">
        <f t="shared" si="11"/>
        <v>71531619.934455007</v>
      </c>
      <c r="M27" s="17">
        <f t="shared" si="11"/>
        <v>71817746.41419284</v>
      </c>
      <c r="N27" s="17">
        <f t="shared" si="11"/>
        <v>72105017.399849623</v>
      </c>
      <c r="O27" s="17">
        <f t="shared" si="11"/>
        <v>72393437.469448999</v>
      </c>
      <c r="P27" s="17">
        <f t="shared" si="11"/>
        <v>72683011.219326809</v>
      </c>
      <c r="Q27" s="17">
        <f t="shared" si="11"/>
        <v>72973743.264204115</v>
      </c>
      <c r="R27" s="17">
        <f t="shared" si="11"/>
        <v>73265638.237260938</v>
      </c>
      <c r="S27" s="17">
        <f t="shared" si="11"/>
        <v>73558700.790209979</v>
      </c>
      <c r="T27" s="17">
        <f t="shared" si="11"/>
        <v>73852935.593370825</v>
      </c>
      <c r="U27" s="17">
        <f t="shared" si="11"/>
        <v>74148347.335744321</v>
      </c>
      <c r="V27" s="17">
        <f t="shared" si="11"/>
        <v>74444940.7250873</v>
      </c>
      <c r="W27" s="17">
        <f t="shared" si="11"/>
        <v>74742720.487987638</v>
      </c>
      <c r="X27" s="17">
        <f t="shared" si="11"/>
        <v>75041691.369939581</v>
      </c>
      <c r="Y27" s="17">
        <f t="shared" si="11"/>
        <v>30136743.254167698</v>
      </c>
      <c r="Z27" s="17">
        <f t="shared" si="11"/>
        <v>0</v>
      </c>
    </row>
    <row r="29" spans="1:26" x14ac:dyDescent="0.2">
      <c r="A29" s="25" t="s">
        <v>113</v>
      </c>
      <c r="B29" s="25" t="s">
        <v>114</v>
      </c>
      <c r="C29" s="36">
        <f t="shared" ref="C29:Z29" si="12">C7+C13+C19+C25</f>
        <v>9.8000000000000007</v>
      </c>
      <c r="D29" s="36">
        <f t="shared" si="12"/>
        <v>12.74</v>
      </c>
      <c r="E29" s="36">
        <f t="shared" si="12"/>
        <v>19.600000000000001</v>
      </c>
      <c r="F29" s="36">
        <f t="shared" si="12"/>
        <v>29.4</v>
      </c>
      <c r="G29" s="36">
        <f t="shared" si="12"/>
        <v>29.4</v>
      </c>
      <c r="H29" s="36">
        <f t="shared" si="12"/>
        <v>29.4</v>
      </c>
      <c r="I29" s="36">
        <f t="shared" si="12"/>
        <v>29.4</v>
      </c>
      <c r="J29" s="36">
        <f t="shared" si="12"/>
        <v>29.4</v>
      </c>
      <c r="K29" s="36">
        <f t="shared" si="12"/>
        <v>29.4</v>
      </c>
      <c r="L29" s="36">
        <f t="shared" si="12"/>
        <v>29.4</v>
      </c>
      <c r="M29" s="36">
        <f t="shared" si="12"/>
        <v>29.4</v>
      </c>
      <c r="N29" s="36">
        <f t="shared" si="12"/>
        <v>29.4</v>
      </c>
      <c r="O29" s="36">
        <f t="shared" si="12"/>
        <v>29.4</v>
      </c>
      <c r="P29" s="36">
        <f t="shared" si="12"/>
        <v>29.4</v>
      </c>
      <c r="Q29" s="36">
        <f t="shared" si="12"/>
        <v>29.4</v>
      </c>
      <c r="R29" s="36">
        <f t="shared" si="12"/>
        <v>29.4</v>
      </c>
      <c r="S29" s="36">
        <f t="shared" si="12"/>
        <v>29.4</v>
      </c>
      <c r="T29" s="36">
        <f t="shared" si="12"/>
        <v>29.4</v>
      </c>
      <c r="U29" s="36">
        <f t="shared" si="12"/>
        <v>19.600000000000001</v>
      </c>
      <c r="V29" s="36">
        <f t="shared" si="12"/>
        <v>19.600000000000001</v>
      </c>
      <c r="W29" s="36">
        <f t="shared" si="12"/>
        <v>19.600000000000001</v>
      </c>
      <c r="X29" s="36">
        <f t="shared" si="12"/>
        <v>16.66</v>
      </c>
      <c r="Y29" s="36">
        <f t="shared" si="12"/>
        <v>12.543999999999997</v>
      </c>
      <c r="Z29" s="36">
        <f t="shared" si="12"/>
        <v>9.8000000000000007</v>
      </c>
    </row>
    <row r="30" spans="1:26" x14ac:dyDescent="0.2">
      <c r="A30" s="25"/>
      <c r="B30" s="25" t="s">
        <v>115</v>
      </c>
      <c r="C30" s="27">
        <f t="shared" ref="C30:Z30" si="13">C9+C15+C21+C27</f>
        <v>156800000</v>
      </c>
      <c r="D30" s="27">
        <f t="shared" si="13"/>
        <v>260621200</v>
      </c>
      <c r="E30" s="27">
        <f t="shared" si="13"/>
        <v>331224084.80000001</v>
      </c>
      <c r="F30" s="27">
        <f t="shared" si="13"/>
        <v>451912981.13920003</v>
      </c>
      <c r="G30" s="27">
        <f t="shared" si="13"/>
        <v>453720633.06375682</v>
      </c>
      <c r="H30" s="27">
        <f t="shared" si="13"/>
        <v>455535515.59601188</v>
      </c>
      <c r="I30" s="27">
        <f t="shared" si="13"/>
        <v>457357657.65839589</v>
      </c>
      <c r="J30" s="27">
        <f t="shared" si="13"/>
        <v>459187088.28902948</v>
      </c>
      <c r="K30" s="27">
        <f t="shared" si="13"/>
        <v>461023836.64218563</v>
      </c>
      <c r="L30" s="27">
        <f t="shared" si="13"/>
        <v>462867931.98875439</v>
      </c>
      <c r="M30" s="27">
        <f t="shared" si="13"/>
        <v>464719403.71670943</v>
      </c>
      <c r="N30" s="27">
        <f t="shared" si="13"/>
        <v>466578281.33157623</v>
      </c>
      <c r="O30" s="27">
        <f t="shared" si="13"/>
        <v>468444594.45690256</v>
      </c>
      <c r="P30" s="27">
        <f t="shared" si="13"/>
        <v>470318372.83473021</v>
      </c>
      <c r="Q30" s="27">
        <f t="shared" si="13"/>
        <v>472199646.32606912</v>
      </c>
      <c r="R30" s="27">
        <f t="shared" si="13"/>
        <v>474088444.91137344</v>
      </c>
      <c r="S30" s="27">
        <f t="shared" si="13"/>
        <v>475984798.69101894</v>
      </c>
      <c r="T30" s="27">
        <f t="shared" si="13"/>
        <v>477888737.88578308</v>
      </c>
      <c r="U30" s="27">
        <f t="shared" si="13"/>
        <v>311318533.49556762</v>
      </c>
      <c r="V30" s="27">
        <f t="shared" si="13"/>
        <v>312563807.62954992</v>
      </c>
      <c r="W30" s="27">
        <f t="shared" si="13"/>
        <v>313814062.86006808</v>
      </c>
      <c r="X30" s="27">
        <f t="shared" si="13"/>
        <v>203298430.66885328</v>
      </c>
      <c r="Y30" s="27">
        <f t="shared" si="13"/>
        <v>158906509.51027703</v>
      </c>
      <c r="Z30" s="27">
        <f t="shared" si="13"/>
        <v>129284845.32113379</v>
      </c>
    </row>
  </sheetData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AD3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" width="24" customWidth="1"/>
    <col min="3" max="26" width="13" customWidth="1"/>
  </cols>
  <sheetData>
    <row r="1" spans="1:30" ht="18" x14ac:dyDescent="0.2">
      <c r="A1" s="5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x14ac:dyDescent="0.2">
      <c r="A3" s="9" t="s">
        <v>105</v>
      </c>
      <c r="B3" s="9" t="s">
        <v>106</v>
      </c>
      <c r="C3" s="37">
        <v>46113</v>
      </c>
      <c r="D3" s="37">
        <v>46143</v>
      </c>
      <c r="E3" s="37">
        <v>46174</v>
      </c>
      <c r="F3" s="37">
        <v>46204</v>
      </c>
      <c r="G3" s="37">
        <v>46235</v>
      </c>
      <c r="H3" s="37">
        <v>46266</v>
      </c>
      <c r="I3" s="37">
        <v>46296</v>
      </c>
      <c r="J3" s="37">
        <v>46327</v>
      </c>
      <c r="K3" s="37">
        <v>46357</v>
      </c>
      <c r="L3" s="37">
        <v>46388</v>
      </c>
      <c r="M3" s="37">
        <v>46419</v>
      </c>
      <c r="N3" s="37">
        <v>46447</v>
      </c>
      <c r="O3" s="37">
        <v>46478</v>
      </c>
      <c r="P3" s="37">
        <v>46508</v>
      </c>
      <c r="Q3" s="37">
        <v>46539</v>
      </c>
      <c r="R3" s="37">
        <v>46569</v>
      </c>
      <c r="S3" s="37">
        <v>46600</v>
      </c>
      <c r="T3" s="37">
        <v>46631</v>
      </c>
      <c r="U3" s="37">
        <v>46661</v>
      </c>
      <c r="V3" s="37">
        <v>46692</v>
      </c>
      <c r="W3" s="37">
        <v>46722</v>
      </c>
      <c r="X3" s="37">
        <v>46753</v>
      </c>
      <c r="Y3" s="37">
        <v>46784</v>
      </c>
      <c r="Z3" s="37">
        <v>46813</v>
      </c>
    </row>
    <row r="4" spans="1:30" x14ac:dyDescent="0.2">
      <c r="A4" s="30" t="s">
        <v>95</v>
      </c>
      <c r="B4" s="30" t="s">
        <v>117</v>
      </c>
      <c r="C4" s="30">
        <f>'Sales Forecast'!C9*Assumptions!$E$14</f>
        <v>31360000</v>
      </c>
      <c r="D4" s="30">
        <f>'Sales Forecast'!D9*Assumptions!$E$14</f>
        <v>31485440</v>
      </c>
      <c r="E4" s="30">
        <f>'Sales Forecast'!E9*Assumptions!$E$14</f>
        <v>31611381.760000005</v>
      </c>
      <c r="F4" s="30">
        <f>'Sales Forecast'!F9*Assumptions!$E$14</f>
        <v>31737827.287040003</v>
      </c>
      <c r="G4" s="30">
        <f>'Sales Forecast'!G9*Assumptions!$E$14</f>
        <v>31864778.596188165</v>
      </c>
      <c r="H4" s="30">
        <f>'Sales Forecast'!H9*Assumptions!$E$14</f>
        <v>31992237.710572917</v>
      </c>
      <c r="I4" s="30">
        <f>'Sales Forecast'!I9*Assumptions!$E$14</f>
        <v>32120206.661415208</v>
      </c>
      <c r="J4" s="30">
        <f>'Sales Forecast'!J9*Assumptions!$E$14</f>
        <v>32248687.488060869</v>
      </c>
      <c r="K4" s="30">
        <f>'Sales Forecast'!K9*Assumptions!$E$14</f>
        <v>32377682.238013119</v>
      </c>
      <c r="L4" s="30">
        <f>'Sales Forecast'!L9*Assumptions!$E$14</f>
        <v>32507192.966965169</v>
      </c>
      <c r="M4" s="30">
        <f>'Sales Forecast'!M9*Assumptions!$E$14</f>
        <v>32637221.738833029</v>
      </c>
      <c r="N4" s="30">
        <f>'Sales Forecast'!N9*Assumptions!$E$14</f>
        <v>32767770.625788361</v>
      </c>
      <c r="O4" s="30">
        <f>'Sales Forecast'!O9*Assumptions!$E$14</f>
        <v>32898841.708291516</v>
      </c>
      <c r="P4" s="30">
        <f>'Sales Forecast'!P9*Assumptions!$E$14</f>
        <v>33030437.075124681</v>
      </c>
      <c r="Q4" s="30">
        <f>'Sales Forecast'!Q9*Assumptions!$E$14</f>
        <v>33162558.823425189</v>
      </c>
      <c r="R4" s="30">
        <f>'Sales Forecast'!R9*Assumptions!$E$14</f>
        <v>33295209.058718886</v>
      </c>
      <c r="S4" s="30">
        <f>'Sales Forecast'!S9*Assumptions!$E$14</f>
        <v>33428389.894953765</v>
      </c>
      <c r="T4" s="30">
        <f>'Sales Forecast'!T9*Assumptions!$E$14</f>
        <v>33562103.454533577</v>
      </c>
      <c r="U4" s="30">
        <f>'Sales Forecast'!U9*Assumptions!$E$14</f>
        <v>0</v>
      </c>
      <c r="V4" s="30">
        <f>'Sales Forecast'!V9*Assumptions!$E$14</f>
        <v>0</v>
      </c>
      <c r="W4" s="30">
        <f>'Sales Forecast'!W9*Assumptions!$E$14</f>
        <v>0</v>
      </c>
      <c r="X4" s="30">
        <f>'Sales Forecast'!X9*Assumptions!$E$14</f>
        <v>0</v>
      </c>
      <c r="Y4" s="30">
        <f>'Sales Forecast'!Y9*Assumptions!$E$14</f>
        <v>0</v>
      </c>
      <c r="Z4" s="30">
        <f>'Sales Forecast'!Z9*Assumptions!$E$14</f>
        <v>0</v>
      </c>
    </row>
    <row r="5" spans="1:30" x14ac:dyDescent="0.2"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>'Sales Forecast'!C9*Assumptions!$E$15</f>
        <v>31360000</v>
      </c>
      <c r="J5">
        <f>'Sales Forecast'!D9*Assumptions!$E$15</f>
        <v>31485440</v>
      </c>
      <c r="K5">
        <f>'Sales Forecast'!E9*Assumptions!$E$15</f>
        <v>31611381.760000005</v>
      </c>
      <c r="L5">
        <f>'Sales Forecast'!F9*Assumptions!$E$15</f>
        <v>31737827.287040003</v>
      </c>
      <c r="M5">
        <f>'Sales Forecast'!G9*Assumptions!$E$15</f>
        <v>31864778.596188165</v>
      </c>
      <c r="N5">
        <f>'Sales Forecast'!H9*Assumptions!$E$15</f>
        <v>31992237.710572917</v>
      </c>
      <c r="O5">
        <f>'Sales Forecast'!I9*Assumptions!$E$15</f>
        <v>32120206.661415208</v>
      </c>
      <c r="P5">
        <f>'Sales Forecast'!J9*Assumptions!$E$15</f>
        <v>32248687.488060869</v>
      </c>
      <c r="Q5">
        <f>'Sales Forecast'!K9*Assumptions!$E$15</f>
        <v>32377682.238013119</v>
      </c>
      <c r="R5">
        <f>'Sales Forecast'!L9*Assumptions!$E$15</f>
        <v>32507192.966965169</v>
      </c>
      <c r="S5">
        <f>'Sales Forecast'!M9*Assumptions!$E$15</f>
        <v>32637221.738833029</v>
      </c>
      <c r="T5">
        <f>'Sales Forecast'!N9*Assumptions!$E$15</f>
        <v>32767770.625788361</v>
      </c>
      <c r="U5">
        <f>'Sales Forecast'!O9*Assumptions!$E$15</f>
        <v>32898841.708291516</v>
      </c>
      <c r="V5">
        <f>'Sales Forecast'!P9*Assumptions!$E$15</f>
        <v>33030437.075124681</v>
      </c>
      <c r="W5">
        <f>'Sales Forecast'!Q9*Assumptions!$E$15</f>
        <v>33162558.823425189</v>
      </c>
      <c r="X5">
        <f>'Sales Forecast'!R9*Assumptions!$E$15</f>
        <v>33295209.058718886</v>
      </c>
      <c r="Y5">
        <f>'Sales Forecast'!S9*Assumptions!$E$15</f>
        <v>33428389.894953765</v>
      </c>
      <c r="Z5">
        <f>'Sales Forecast'!T9*Assumptions!$E$15</f>
        <v>33562103.454533577</v>
      </c>
    </row>
    <row r="6" spans="1:30" x14ac:dyDescent="0.2">
      <c r="B6" t="s">
        <v>119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>'Sales Forecast'!C9*Assumptions!$E$16</f>
        <v>31360000</v>
      </c>
      <c r="P6">
        <f>'Sales Forecast'!D9*Assumptions!$E$16</f>
        <v>31485440</v>
      </c>
      <c r="Q6">
        <f>'Sales Forecast'!E9*Assumptions!$E$16</f>
        <v>31611381.760000005</v>
      </c>
      <c r="R6">
        <f>'Sales Forecast'!F9*Assumptions!$E$16</f>
        <v>31737827.287040003</v>
      </c>
      <c r="S6">
        <f>'Sales Forecast'!G9*Assumptions!$E$16</f>
        <v>31864778.596188165</v>
      </c>
      <c r="T6">
        <f>'Sales Forecast'!H9*Assumptions!$E$16</f>
        <v>31992237.710572917</v>
      </c>
      <c r="U6">
        <f>'Sales Forecast'!I9*Assumptions!$E$16</f>
        <v>32120206.661415208</v>
      </c>
      <c r="V6">
        <f>'Sales Forecast'!J9*Assumptions!$E$16</f>
        <v>32248687.488060869</v>
      </c>
      <c r="W6">
        <f>'Sales Forecast'!K9*Assumptions!$E$16</f>
        <v>32377682.238013119</v>
      </c>
      <c r="X6">
        <f>'Sales Forecast'!L9*Assumptions!$E$16</f>
        <v>32507192.966965169</v>
      </c>
      <c r="Y6">
        <f>'Sales Forecast'!M9*Assumptions!$E$16</f>
        <v>32637221.738833029</v>
      </c>
      <c r="Z6">
        <f>'Sales Forecast'!N9*Assumptions!$E$16</f>
        <v>32767770.625788361</v>
      </c>
    </row>
    <row r="7" spans="1:30" x14ac:dyDescent="0.2">
      <c r="B7" t="s">
        <v>120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f>'Sales Forecast'!C9*Assumptions!$E$17</f>
        <v>31360000</v>
      </c>
      <c r="V7">
        <f>'Sales Forecast'!D9*Assumptions!$E$17</f>
        <v>31485440</v>
      </c>
      <c r="W7">
        <f>'Sales Forecast'!E9*Assumptions!$E$17</f>
        <v>31611381.760000005</v>
      </c>
      <c r="X7">
        <f>'Sales Forecast'!F9*Assumptions!$E$17</f>
        <v>31737827.287040003</v>
      </c>
      <c r="Y7">
        <f>'Sales Forecast'!G9*Assumptions!$E$17</f>
        <v>31864778.596188165</v>
      </c>
      <c r="Z7">
        <f>'Sales Forecast'!H9*Assumptions!$E$17</f>
        <v>31992237.710572917</v>
      </c>
    </row>
    <row r="8" spans="1:30" x14ac:dyDescent="0.2">
      <c r="B8" t="s">
        <v>121</v>
      </c>
      <c r="C8">
        <f>IF(C$3&gt;=EDATE('Project Database'!$E$4,ROUND('Scenario Toggle'!$E$12,0)),MAX(0,SUM('Sales Forecast'!$C$9:C9)*Assumptions!$E$18-0),0)</f>
        <v>0</v>
      </c>
      <c r="D8">
        <f>IF(D$3&gt;=EDATE('Project Database'!$E$4,ROUND('Scenario Toggle'!$E$12,0)),MAX(0,SUM('Sales Forecast'!$C$9:D9)*Assumptions!$E$18-SUM(C8)),0)</f>
        <v>0</v>
      </c>
      <c r="E8">
        <f>IF(E$3&gt;=EDATE('Project Database'!$E$4,ROUND('Scenario Toggle'!$E$12,0)),MAX(0,SUM('Sales Forecast'!$C$9:E9)*Assumptions!$E$18-SUM(C8:D8)),0)</f>
        <v>0</v>
      </c>
      <c r="F8">
        <f>IF(F$3&gt;=EDATE('Project Database'!$E$4,ROUND('Scenario Toggle'!$E$12,0)),MAX(0,SUM('Sales Forecast'!$C$9:F9)*Assumptions!$E$18-SUM(C8:E8)),0)</f>
        <v>0</v>
      </c>
      <c r="G8">
        <f>IF(G$3&gt;=EDATE('Project Database'!$E$4,ROUND('Scenario Toggle'!$E$12,0)),MAX(0,SUM('Sales Forecast'!$C$9:G9)*Assumptions!$E$18-SUM(C8:F8)),0)</f>
        <v>0</v>
      </c>
      <c r="H8">
        <f>IF(H$3&gt;=EDATE('Project Database'!$E$4,ROUND('Scenario Toggle'!$E$12,0)),MAX(0,SUM('Sales Forecast'!$C$9:H9)*Assumptions!$E$18-SUM(C8:G8)),0)</f>
        <v>0</v>
      </c>
      <c r="I8">
        <f>IF(I$3&gt;=EDATE('Project Database'!$E$4,ROUND('Scenario Toggle'!$E$12,0)),MAX(0,SUM('Sales Forecast'!$C$9:I9)*Assumptions!$E$18-SUM(C8:H8)),0)</f>
        <v>0</v>
      </c>
      <c r="J8">
        <f>IF(J$3&gt;=EDATE('Project Database'!$E$4,ROUND('Scenario Toggle'!$E$12,0)),MAX(0,SUM('Sales Forecast'!$C$9:J9)*Assumptions!$E$18-SUM(C8:I8)),0)</f>
        <v>0</v>
      </c>
      <c r="K8">
        <f>IF(K$3&gt;=EDATE('Project Database'!$E$4,ROUND('Scenario Toggle'!$E$12,0)),MAX(0,SUM('Sales Forecast'!$C$9:K9)*Assumptions!$E$18-SUM(C8:J8)),0)</f>
        <v>0</v>
      </c>
      <c r="L8">
        <f>IF(L$3&gt;=EDATE('Project Database'!$E$4,ROUND('Scenario Toggle'!$E$12,0)),MAX(0,SUM('Sales Forecast'!$C$9:L9)*Assumptions!$E$18-SUM(C8:K8)),0)</f>
        <v>0</v>
      </c>
      <c r="M8">
        <f>IF(M$3&gt;=EDATE('Project Database'!$E$4,ROUND('Scenario Toggle'!$E$12,0)),MAX(0,SUM('Sales Forecast'!$C$9:M9)*Assumptions!$E$18-SUM(C8:L8)),0)</f>
        <v>0</v>
      </c>
      <c r="N8">
        <f>IF(N$3&gt;=EDATE('Project Database'!$E$4,ROUND('Scenario Toggle'!$E$12,0)),MAX(0,SUM('Sales Forecast'!$C$9:N9)*Assumptions!$E$18-SUM(C8:M8)),0)</f>
        <v>0</v>
      </c>
      <c r="O8">
        <f>IF(O$3&gt;=EDATE('Project Database'!$E$4,ROUND('Scenario Toggle'!$E$12,0)),MAX(0,SUM('Sales Forecast'!$C$9:O9)*Assumptions!$E$18-SUM(C8:N8)),0)</f>
        <v>0</v>
      </c>
      <c r="P8">
        <f>IF(P$3&gt;=EDATE('Project Database'!$E$4,ROUND('Scenario Toggle'!$E$12,0)),MAX(0,SUM('Sales Forecast'!$C$9:P9)*Assumptions!$E$18-SUM(C8:O8)),0)</f>
        <v>0</v>
      </c>
      <c r="Q8">
        <f>IF(Q$3&gt;=EDATE('Project Database'!$E$4,ROUND('Scenario Toggle'!$E$12,0)),MAX(0,SUM('Sales Forecast'!$C$9:Q9)*Assumptions!$E$18-SUM(C8:P8)),0)</f>
        <v>0</v>
      </c>
      <c r="R8">
        <f>IF(R$3&gt;=EDATE('Project Database'!$E$4,ROUND('Scenario Toggle'!$E$12,0)),MAX(0,SUM('Sales Forecast'!$C$9:R9)*Assumptions!$E$18-SUM(C8:Q8)),0)</f>
        <v>0</v>
      </c>
      <c r="S8">
        <f>IF(S$3&gt;=EDATE('Project Database'!$E$4,ROUND('Scenario Toggle'!$E$12,0)),MAX(0,SUM('Sales Forecast'!$C$9:S9)*Assumptions!$E$18-SUM(C8:R8)),0)</f>
        <v>0</v>
      </c>
      <c r="T8">
        <f>IF(T$3&gt;=EDATE('Project Database'!$E$4,ROUND('Scenario Toggle'!$E$12,0)),MAX(0,SUM('Sales Forecast'!$C$9:T9)*Assumptions!$E$18-SUM(C8:S8)),0)</f>
        <v>584087967.08792436</v>
      </c>
      <c r="U8">
        <f>IF(U$3&gt;=EDATE('Project Database'!$E$4,ROUND('Scenario Toggle'!$E$12,0)),MAX(0,SUM('Sales Forecast'!$C$9:U9)*Assumptions!$E$18-SUM(C8:T8)),0)</f>
        <v>0</v>
      </c>
      <c r="V8">
        <f>IF(V$3&gt;=EDATE('Project Database'!$E$4,ROUND('Scenario Toggle'!$E$12,0)),MAX(0,SUM('Sales Forecast'!$C$9:V9)*Assumptions!$E$18-SUM(C8:U8)),0)</f>
        <v>0</v>
      </c>
      <c r="W8">
        <f>IF(W$3&gt;=EDATE('Project Database'!$E$4,ROUND('Scenario Toggle'!$E$12,0)),MAX(0,SUM('Sales Forecast'!$C$9:W9)*Assumptions!$E$18-SUM(C8:V8)),0)</f>
        <v>0</v>
      </c>
      <c r="X8">
        <f>IF(X$3&gt;=EDATE('Project Database'!$E$4,ROUND('Scenario Toggle'!$E$12,0)),MAX(0,SUM('Sales Forecast'!$C$9:X9)*Assumptions!$E$18-SUM(C8:W8)),0)</f>
        <v>0</v>
      </c>
      <c r="Y8">
        <f>IF(Y$3&gt;=EDATE('Project Database'!$E$4,ROUND('Scenario Toggle'!$E$12,0)),MAX(0,SUM('Sales Forecast'!$C$9:Y9)*Assumptions!$E$18-SUM(C8:X8)),0)</f>
        <v>0</v>
      </c>
      <c r="Z8">
        <f>IF(Z$3&gt;=EDATE('Project Database'!$E$4,ROUND('Scenario Toggle'!$E$12,0)),MAX(0,SUM('Sales Forecast'!$C$9:Z9)*Assumptions!$E$18-SUM(C8:Y8)),0)</f>
        <v>0</v>
      </c>
    </row>
    <row r="9" spans="1:30" x14ac:dyDescent="0.2">
      <c r="B9" t="s">
        <v>122</v>
      </c>
      <c r="C9" s="19">
        <f t="shared" ref="C9:Z9" si="0">SUM(C4:C8)</f>
        <v>31360000</v>
      </c>
      <c r="D9" s="19">
        <f t="shared" si="0"/>
        <v>31485440</v>
      </c>
      <c r="E9" s="19">
        <f t="shared" si="0"/>
        <v>31611381.760000005</v>
      </c>
      <c r="F9" s="19">
        <f t="shared" si="0"/>
        <v>31737827.287040003</v>
      </c>
      <c r="G9" s="19">
        <f t="shared" si="0"/>
        <v>31864778.596188165</v>
      </c>
      <c r="H9" s="19">
        <f t="shared" si="0"/>
        <v>31992237.710572917</v>
      </c>
      <c r="I9" s="19">
        <f t="shared" si="0"/>
        <v>63480206.661415204</v>
      </c>
      <c r="J9" s="19">
        <f t="shared" si="0"/>
        <v>63734127.488060869</v>
      </c>
      <c r="K9" s="19">
        <f t="shared" si="0"/>
        <v>63989063.998013124</v>
      </c>
      <c r="L9" s="19">
        <f t="shared" si="0"/>
        <v>64245020.254005171</v>
      </c>
      <c r="M9" s="19">
        <f t="shared" si="0"/>
        <v>64502000.335021198</v>
      </c>
      <c r="N9" s="19">
        <f t="shared" si="0"/>
        <v>64760008.336361274</v>
      </c>
      <c r="O9" s="19">
        <f t="shared" si="0"/>
        <v>96379048.36970672</v>
      </c>
      <c r="P9" s="19">
        <f t="shared" si="0"/>
        <v>96764564.563185543</v>
      </c>
      <c r="Q9" s="19">
        <f t="shared" si="0"/>
        <v>97151622.821438313</v>
      </c>
      <c r="R9" s="19">
        <f t="shared" si="0"/>
        <v>97540229.312724054</v>
      </c>
      <c r="S9" s="19">
        <f t="shared" si="0"/>
        <v>97930390.229974955</v>
      </c>
      <c r="T9" s="19">
        <f t="shared" si="0"/>
        <v>682410078.87881923</v>
      </c>
      <c r="U9" s="19">
        <f t="shared" si="0"/>
        <v>96379048.36970672</v>
      </c>
      <c r="V9" s="19">
        <f t="shared" si="0"/>
        <v>96764564.563185543</v>
      </c>
      <c r="W9" s="19">
        <f t="shared" si="0"/>
        <v>97151622.821438313</v>
      </c>
      <c r="X9" s="19">
        <f t="shared" si="0"/>
        <v>97540229.312724054</v>
      </c>
      <c r="Y9" s="19">
        <f t="shared" si="0"/>
        <v>97930390.229974955</v>
      </c>
      <c r="Z9" s="19">
        <f t="shared" si="0"/>
        <v>98322111.790894851</v>
      </c>
    </row>
    <row r="10" spans="1:30" x14ac:dyDescent="0.2">
      <c r="B10" t="s">
        <v>123</v>
      </c>
      <c r="C10" s="19">
        <f>'Sales Forecast'!C9*Assumptions!$E$19</f>
        <v>4704000</v>
      </c>
      <c r="D10" s="19">
        <f>'Sales Forecast'!D9*Assumptions!$E$19</f>
        <v>4722816</v>
      </c>
      <c r="E10" s="19">
        <f>'Sales Forecast'!E9*Assumptions!$E$19</f>
        <v>4741707.2640000004</v>
      </c>
      <c r="F10" s="19">
        <f>'Sales Forecast'!F9*Assumptions!$E$19</f>
        <v>4760674.0930559998</v>
      </c>
      <c r="G10" s="19">
        <f>'Sales Forecast'!G9*Assumptions!$E$19</f>
        <v>4779716.7894282248</v>
      </c>
      <c r="H10" s="19">
        <f>'Sales Forecast'!H9*Assumptions!$E$19</f>
        <v>4798835.6565859374</v>
      </c>
      <c r="I10" s="19">
        <f>'Sales Forecast'!I9*Assumptions!$E$19</f>
        <v>4818030.9992122808</v>
      </c>
      <c r="J10" s="19">
        <f>'Sales Forecast'!J9*Assumptions!$E$19</f>
        <v>4837303.12320913</v>
      </c>
      <c r="K10" s="19">
        <f>'Sales Forecast'!K9*Assumptions!$E$19</f>
        <v>4856652.3357019676</v>
      </c>
      <c r="L10" s="19">
        <f>'Sales Forecast'!L9*Assumptions!$E$19</f>
        <v>4876078.9450447755</v>
      </c>
      <c r="M10" s="19">
        <f>'Sales Forecast'!M9*Assumptions!$E$19</f>
        <v>4895583.2608249541</v>
      </c>
      <c r="N10" s="19">
        <f>'Sales Forecast'!N9*Assumptions!$E$19</f>
        <v>4915165.5938682538</v>
      </c>
      <c r="O10" s="19">
        <f>'Sales Forecast'!O9*Assumptions!$E$19</f>
        <v>4934826.2562437272</v>
      </c>
      <c r="P10" s="19">
        <f>'Sales Forecast'!P9*Assumptions!$E$19</f>
        <v>4954565.5612687021</v>
      </c>
      <c r="Q10" s="19">
        <f>'Sales Forecast'!Q9*Assumptions!$E$19</f>
        <v>4974383.8235137779</v>
      </c>
      <c r="R10" s="19">
        <f>'Sales Forecast'!R9*Assumptions!$E$19</f>
        <v>4994281.358807832</v>
      </c>
      <c r="S10" s="19">
        <f>'Sales Forecast'!S9*Assumptions!$E$19</f>
        <v>5014258.4842430642</v>
      </c>
      <c r="T10" s="19">
        <f>'Sales Forecast'!T9*Assumptions!$E$19</f>
        <v>5034315.518180036</v>
      </c>
      <c r="U10" s="19">
        <f>'Sales Forecast'!U9*Assumptions!$E$19</f>
        <v>0</v>
      </c>
      <c r="V10" s="19">
        <f>'Sales Forecast'!V9*Assumptions!$E$19</f>
        <v>0</v>
      </c>
      <c r="W10" s="19">
        <f>'Sales Forecast'!W9*Assumptions!$E$19</f>
        <v>0</v>
      </c>
      <c r="X10" s="19">
        <f>'Sales Forecast'!X9*Assumptions!$E$19</f>
        <v>0</v>
      </c>
      <c r="Y10" s="19">
        <f>'Sales Forecast'!Y9*Assumptions!$E$19</f>
        <v>0</v>
      </c>
      <c r="Z10" s="19">
        <f>'Sales Forecast'!Z9*Assumptions!$E$19</f>
        <v>0</v>
      </c>
    </row>
    <row r="11" spans="1:30" x14ac:dyDescent="0.2">
      <c r="A11" s="30" t="s">
        <v>97</v>
      </c>
      <c r="B11" s="30" t="s">
        <v>117</v>
      </c>
      <c r="C11" s="30">
        <f>'Sales Forecast'!C15*Assumptions!$E$14</f>
        <v>0</v>
      </c>
      <c r="D11" s="30">
        <f>'Sales Forecast'!D15*Assumptions!$E$14</f>
        <v>20638800</v>
      </c>
      <c r="E11" s="30">
        <f>'Sales Forecast'!E15*Assumptions!$E$14</f>
        <v>20721355.200000003</v>
      </c>
      <c r="F11" s="30">
        <f>'Sales Forecast'!F15*Assumptions!$E$14</f>
        <v>20804240.620800003</v>
      </c>
      <c r="G11" s="30">
        <f>'Sales Forecast'!G15*Assumptions!$E$14</f>
        <v>20887457.583283201</v>
      </c>
      <c r="H11" s="30">
        <f>'Sales Forecast'!H15*Assumptions!$E$14</f>
        <v>20971007.413616337</v>
      </c>
      <c r="I11" s="30">
        <f>'Sales Forecast'!I15*Assumptions!$E$14</f>
        <v>21054891.443270799</v>
      </c>
      <c r="J11" s="30">
        <f>'Sales Forecast'!J15*Assumptions!$E$14</f>
        <v>21139111.009043884</v>
      </c>
      <c r="K11" s="30">
        <f>'Sales Forecast'!K15*Assumptions!$E$14</f>
        <v>21223667.453080058</v>
      </c>
      <c r="L11" s="30">
        <f>'Sales Forecast'!L15*Assumptions!$E$14</f>
        <v>21308562.12289238</v>
      </c>
      <c r="M11" s="30">
        <f>'Sales Forecast'!M15*Assumptions!$E$14</f>
        <v>21393796.37138395</v>
      </c>
      <c r="N11" s="30">
        <f>'Sales Forecast'!N15*Assumptions!$E$14</f>
        <v>21479371.556869484</v>
      </c>
      <c r="O11" s="30">
        <f>'Sales Forecast'!O15*Assumptions!$E$14</f>
        <v>21565289.043096963</v>
      </c>
      <c r="P11" s="30">
        <f>'Sales Forecast'!P15*Assumptions!$E$14</f>
        <v>21651550.199269354</v>
      </c>
      <c r="Q11" s="30">
        <f>'Sales Forecast'!Q15*Assumptions!$E$14</f>
        <v>21738156.400066432</v>
      </c>
      <c r="R11" s="30">
        <f>'Sales Forecast'!R15*Assumptions!$E$14</f>
        <v>21825109.025666699</v>
      </c>
      <c r="S11" s="30">
        <f>'Sales Forecast'!S15*Assumptions!$E$14</f>
        <v>21912409.461769365</v>
      </c>
      <c r="T11" s="30">
        <f>'Sales Forecast'!T15*Assumptions!$E$14</f>
        <v>22000059.099616446</v>
      </c>
      <c r="U11" s="30">
        <f>'Sales Forecast'!U15*Assumptions!$E$14</f>
        <v>22088059.336014912</v>
      </c>
      <c r="V11" s="30">
        <f>'Sales Forecast'!V15*Assumptions!$E$14</f>
        <v>22176411.573358972</v>
      </c>
      <c r="W11" s="30">
        <f>'Sales Forecast'!W15*Assumptions!$E$14</f>
        <v>22265117.219652403</v>
      </c>
      <c r="X11" s="30">
        <f>'Sales Forecast'!X15*Assumptions!$E$14</f>
        <v>0</v>
      </c>
      <c r="Y11" s="30">
        <f>'Sales Forecast'!Y15*Assumptions!$E$14</f>
        <v>0</v>
      </c>
      <c r="Z11" s="30">
        <f>'Sales Forecast'!Z15*Assumptions!$E$14</f>
        <v>0</v>
      </c>
    </row>
    <row r="12" spans="1:30" x14ac:dyDescent="0.2">
      <c r="B12" t="s">
        <v>118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f>'Sales Forecast'!C15*Assumptions!$E$15</f>
        <v>0</v>
      </c>
      <c r="J12">
        <f>'Sales Forecast'!D15*Assumptions!$E$15</f>
        <v>20638800</v>
      </c>
      <c r="K12">
        <f>'Sales Forecast'!E15*Assumptions!$E$15</f>
        <v>20721355.200000003</v>
      </c>
      <c r="L12">
        <f>'Sales Forecast'!F15*Assumptions!$E$15</f>
        <v>20804240.620800003</v>
      </c>
      <c r="M12">
        <f>'Sales Forecast'!G15*Assumptions!$E$15</f>
        <v>20887457.583283201</v>
      </c>
      <c r="N12">
        <f>'Sales Forecast'!H15*Assumptions!$E$15</f>
        <v>20971007.413616337</v>
      </c>
      <c r="O12">
        <f>'Sales Forecast'!I15*Assumptions!$E$15</f>
        <v>21054891.443270799</v>
      </c>
      <c r="P12">
        <f>'Sales Forecast'!J15*Assumptions!$E$15</f>
        <v>21139111.009043884</v>
      </c>
      <c r="Q12">
        <f>'Sales Forecast'!K15*Assumptions!$E$15</f>
        <v>21223667.453080058</v>
      </c>
      <c r="R12">
        <f>'Sales Forecast'!L15*Assumptions!$E$15</f>
        <v>21308562.12289238</v>
      </c>
      <c r="S12">
        <f>'Sales Forecast'!M15*Assumptions!$E$15</f>
        <v>21393796.37138395</v>
      </c>
      <c r="T12">
        <f>'Sales Forecast'!N15*Assumptions!$E$15</f>
        <v>21479371.556869484</v>
      </c>
      <c r="U12">
        <f>'Sales Forecast'!O15*Assumptions!$E$15</f>
        <v>21565289.043096963</v>
      </c>
      <c r="V12">
        <f>'Sales Forecast'!P15*Assumptions!$E$15</f>
        <v>21651550.199269354</v>
      </c>
      <c r="W12">
        <f>'Sales Forecast'!Q15*Assumptions!$E$15</f>
        <v>21738156.400066432</v>
      </c>
      <c r="X12">
        <f>'Sales Forecast'!R15*Assumptions!$E$15</f>
        <v>21825109.025666699</v>
      </c>
      <c r="Y12">
        <f>'Sales Forecast'!S15*Assumptions!$E$15</f>
        <v>21912409.461769365</v>
      </c>
      <c r="Z12">
        <f>'Sales Forecast'!T15*Assumptions!$E$15</f>
        <v>22000059.099616446</v>
      </c>
    </row>
    <row r="13" spans="1:30" x14ac:dyDescent="0.2">
      <c r="B13" t="s">
        <v>119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>'Sales Forecast'!C15*Assumptions!$E$16</f>
        <v>0</v>
      </c>
      <c r="P13">
        <f>'Sales Forecast'!D15*Assumptions!$E$16</f>
        <v>20638800</v>
      </c>
      <c r="Q13">
        <f>'Sales Forecast'!E15*Assumptions!$E$16</f>
        <v>20721355.200000003</v>
      </c>
      <c r="R13">
        <f>'Sales Forecast'!F15*Assumptions!$E$16</f>
        <v>20804240.620800003</v>
      </c>
      <c r="S13">
        <f>'Sales Forecast'!G15*Assumptions!$E$16</f>
        <v>20887457.583283201</v>
      </c>
      <c r="T13">
        <f>'Sales Forecast'!H15*Assumptions!$E$16</f>
        <v>20971007.413616337</v>
      </c>
      <c r="U13">
        <f>'Sales Forecast'!I15*Assumptions!$E$16</f>
        <v>21054891.443270799</v>
      </c>
      <c r="V13">
        <f>'Sales Forecast'!J15*Assumptions!$E$16</f>
        <v>21139111.009043884</v>
      </c>
      <c r="W13">
        <f>'Sales Forecast'!K15*Assumptions!$E$16</f>
        <v>21223667.453080058</v>
      </c>
      <c r="X13">
        <f>'Sales Forecast'!L15*Assumptions!$E$16</f>
        <v>21308562.12289238</v>
      </c>
      <c r="Y13">
        <f>'Sales Forecast'!M15*Assumptions!$E$16</f>
        <v>21393796.37138395</v>
      </c>
      <c r="Z13">
        <f>'Sales Forecast'!N15*Assumptions!$E$16</f>
        <v>21479371.556869484</v>
      </c>
    </row>
    <row r="14" spans="1:30" x14ac:dyDescent="0.2">
      <c r="B14" t="s">
        <v>120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f>'Sales Forecast'!C15*Assumptions!$E$17</f>
        <v>0</v>
      </c>
      <c r="V14">
        <f>'Sales Forecast'!D15*Assumptions!$E$17</f>
        <v>20638800</v>
      </c>
      <c r="W14">
        <f>'Sales Forecast'!E15*Assumptions!$E$17</f>
        <v>20721355.200000003</v>
      </c>
      <c r="X14">
        <f>'Sales Forecast'!F15*Assumptions!$E$17</f>
        <v>20804240.620800003</v>
      </c>
      <c r="Y14">
        <f>'Sales Forecast'!G15*Assumptions!$E$17</f>
        <v>20887457.583283201</v>
      </c>
      <c r="Z14">
        <f>'Sales Forecast'!H15*Assumptions!$E$17</f>
        <v>20971007.413616337</v>
      </c>
    </row>
    <row r="15" spans="1:30" x14ac:dyDescent="0.2">
      <c r="B15" t="s">
        <v>121</v>
      </c>
      <c r="C15">
        <f>IF(C$3&gt;=EDATE('Project Database'!$E$5,ROUND('Scenario Toggle'!$E$12,0)),MAX(0,SUM('Sales Forecast'!$C$15:C15)*Assumptions!$E$18-0),0)</f>
        <v>0</v>
      </c>
      <c r="D15">
        <f>IF(D$3&gt;=EDATE('Project Database'!$E$5,ROUND('Scenario Toggle'!$E$12,0)),MAX(0,SUM('Sales Forecast'!$C$15:D15)*Assumptions!$E$18-SUM(C15)),0)</f>
        <v>0</v>
      </c>
      <c r="E15">
        <f>IF(E$3&gt;=EDATE('Project Database'!$E$5,ROUND('Scenario Toggle'!$E$12,0)),MAX(0,SUM('Sales Forecast'!$C$15:E15)*Assumptions!$E$18-SUM(C15:D15)),0)</f>
        <v>0</v>
      </c>
      <c r="F15">
        <f>IF(F$3&gt;=EDATE('Project Database'!$E$5,ROUND('Scenario Toggle'!$E$12,0)),MAX(0,SUM('Sales Forecast'!$C$15:F15)*Assumptions!$E$18-SUM(C15:E15)),0)</f>
        <v>0</v>
      </c>
      <c r="G15">
        <f>IF(G$3&gt;=EDATE('Project Database'!$E$5,ROUND('Scenario Toggle'!$E$12,0)),MAX(0,SUM('Sales Forecast'!$C$15:G15)*Assumptions!$E$18-SUM(C15:F15)),0)</f>
        <v>0</v>
      </c>
      <c r="H15">
        <f>IF(H$3&gt;=EDATE('Project Database'!$E$5,ROUND('Scenario Toggle'!$E$12,0)),MAX(0,SUM('Sales Forecast'!$C$15:H15)*Assumptions!$E$18-SUM(C15:G15)),0)</f>
        <v>0</v>
      </c>
      <c r="I15">
        <f>IF(I$3&gt;=EDATE('Project Database'!$E$5,ROUND('Scenario Toggle'!$E$12,0)),MAX(0,SUM('Sales Forecast'!$C$15:I15)*Assumptions!$E$18-SUM(C15:H15)),0)</f>
        <v>0</v>
      </c>
      <c r="J15">
        <f>IF(J$3&gt;=EDATE('Project Database'!$E$5,ROUND('Scenario Toggle'!$E$12,0)),MAX(0,SUM('Sales Forecast'!$C$15:J15)*Assumptions!$E$18-SUM(C15:I15)),0)</f>
        <v>0</v>
      </c>
      <c r="K15">
        <f>IF(K$3&gt;=EDATE('Project Database'!$E$5,ROUND('Scenario Toggle'!$E$12,0)),MAX(0,SUM('Sales Forecast'!$C$15:K15)*Assumptions!$E$18-SUM(C15:J15)),0)</f>
        <v>0</v>
      </c>
      <c r="L15">
        <f>IF(L$3&gt;=EDATE('Project Database'!$E$5,ROUND('Scenario Toggle'!$E$12,0)),MAX(0,SUM('Sales Forecast'!$C$15:L15)*Assumptions!$E$18-SUM(C15:K15)),0)</f>
        <v>0</v>
      </c>
      <c r="M15">
        <f>IF(M$3&gt;=EDATE('Project Database'!$E$5,ROUND('Scenario Toggle'!$E$12,0)),MAX(0,SUM('Sales Forecast'!$C$15:M15)*Assumptions!$E$18-SUM(C15:L15)),0)</f>
        <v>0</v>
      </c>
      <c r="N15">
        <f>IF(N$3&gt;=EDATE('Project Database'!$E$5,ROUND('Scenario Toggle'!$E$12,0)),MAX(0,SUM('Sales Forecast'!$C$15:N15)*Assumptions!$E$18-SUM(C15:M15)),0)</f>
        <v>0</v>
      </c>
      <c r="O15">
        <f>IF(O$3&gt;=EDATE('Project Database'!$E$5,ROUND('Scenario Toggle'!$E$12,0)),MAX(0,SUM('Sales Forecast'!$C$15:O15)*Assumptions!$E$18-SUM(C15:N15)),0)</f>
        <v>0</v>
      </c>
      <c r="P15">
        <f>IF(P$3&gt;=EDATE('Project Database'!$E$5,ROUND('Scenario Toggle'!$E$12,0)),MAX(0,SUM('Sales Forecast'!$C$15:P15)*Assumptions!$E$18-SUM(C15:O15)),0)</f>
        <v>0</v>
      </c>
      <c r="Q15">
        <f>IF(Q$3&gt;=EDATE('Project Database'!$E$5,ROUND('Scenario Toggle'!$E$12,0)),MAX(0,SUM('Sales Forecast'!$C$15:Q15)*Assumptions!$E$18-SUM(C15:P15)),0)</f>
        <v>0</v>
      </c>
      <c r="R15">
        <f>IF(R$3&gt;=EDATE('Project Database'!$E$5,ROUND('Scenario Toggle'!$E$12,0)),MAX(0,SUM('Sales Forecast'!$C$15:R15)*Assumptions!$E$18-SUM(C15:Q15)),0)</f>
        <v>0</v>
      </c>
      <c r="S15">
        <f>IF(S$3&gt;=EDATE('Project Database'!$E$5,ROUND('Scenario Toggle'!$E$12,0)),MAX(0,SUM('Sales Forecast'!$C$15:S15)*Assumptions!$E$18-SUM(C15:R15)),0)</f>
        <v>0</v>
      </c>
      <c r="T15">
        <f>IF(T$3&gt;=EDATE('Project Database'!$E$5,ROUND('Scenario Toggle'!$E$12,0)),MAX(0,SUM('Sales Forecast'!$C$15:T15)*Assumptions!$E$18-SUM(C15:S15)),0)</f>
        <v>0</v>
      </c>
      <c r="U15">
        <f>IF(U$3&gt;=EDATE('Project Database'!$E$5,ROUND('Scenario Toggle'!$E$12,0)),MAX(0,SUM('Sales Forecast'!$C$15:U15)*Assumptions!$E$18-SUM(C15:T15)),0)</f>
        <v>0</v>
      </c>
      <c r="V15">
        <f>IF(V$3&gt;=EDATE('Project Database'!$E$5,ROUND('Scenario Toggle'!$E$12,0)),MAX(0,SUM('Sales Forecast'!$C$15:V15)*Assumptions!$E$18-SUM(C15:U15)),0)</f>
        <v>0</v>
      </c>
      <c r="W15">
        <f>IF(W$3&gt;=EDATE('Project Database'!$E$5,ROUND('Scenario Toggle'!$E$12,0)),MAX(0,SUM('Sales Forecast'!$C$15:W15)*Assumptions!$E$18-SUM(C15:V15)),0)</f>
        <v>428844422.13275164</v>
      </c>
      <c r="X15">
        <f>IF(X$3&gt;=EDATE('Project Database'!$E$5,ROUND('Scenario Toggle'!$E$12,0)),MAX(0,SUM('Sales Forecast'!$C$15:X15)*Assumptions!$E$18-SUM(C15:W15)),0)</f>
        <v>0</v>
      </c>
      <c r="Y15">
        <f>IF(Y$3&gt;=EDATE('Project Database'!$E$5,ROUND('Scenario Toggle'!$E$12,0)),MAX(0,SUM('Sales Forecast'!$C$15:Y15)*Assumptions!$E$18-SUM(C15:X15)),0)</f>
        <v>0</v>
      </c>
      <c r="Z15">
        <f>IF(Z$3&gt;=EDATE('Project Database'!$E$5,ROUND('Scenario Toggle'!$E$12,0)),MAX(0,SUM('Sales Forecast'!$C$15:Z15)*Assumptions!$E$18-SUM(C15:Y15)),0)</f>
        <v>0</v>
      </c>
    </row>
    <row r="16" spans="1:30" x14ac:dyDescent="0.2">
      <c r="B16" t="s">
        <v>122</v>
      </c>
      <c r="C16" s="19">
        <f t="shared" ref="C16:Z16" si="1">SUM(C11:C15)</f>
        <v>0</v>
      </c>
      <c r="D16" s="19">
        <f t="shared" si="1"/>
        <v>20638800</v>
      </c>
      <c r="E16" s="19">
        <f t="shared" si="1"/>
        <v>20721355.200000003</v>
      </c>
      <c r="F16" s="19">
        <f t="shared" si="1"/>
        <v>20804240.620800003</v>
      </c>
      <c r="G16" s="19">
        <f t="shared" si="1"/>
        <v>20887457.583283201</v>
      </c>
      <c r="H16" s="19">
        <f t="shared" si="1"/>
        <v>20971007.413616337</v>
      </c>
      <c r="I16" s="19">
        <f t="shared" si="1"/>
        <v>21054891.443270799</v>
      </c>
      <c r="J16" s="19">
        <f t="shared" si="1"/>
        <v>41777911.009043887</v>
      </c>
      <c r="K16" s="19">
        <f t="shared" si="1"/>
        <v>41945022.653080061</v>
      </c>
      <c r="L16" s="19">
        <f t="shared" si="1"/>
        <v>42112802.743692383</v>
      </c>
      <c r="M16" s="19">
        <f t="shared" si="1"/>
        <v>42281253.954667151</v>
      </c>
      <c r="N16" s="19">
        <f t="shared" si="1"/>
        <v>42450378.970485821</v>
      </c>
      <c r="O16" s="19">
        <f t="shared" si="1"/>
        <v>42620180.486367762</v>
      </c>
      <c r="P16" s="19">
        <f t="shared" si="1"/>
        <v>63429461.208313242</v>
      </c>
      <c r="Q16" s="19">
        <f t="shared" si="1"/>
        <v>63683179.053146496</v>
      </c>
      <c r="R16" s="19">
        <f t="shared" si="1"/>
        <v>63937911.769359082</v>
      </c>
      <c r="S16" s="19">
        <f t="shared" si="1"/>
        <v>64193663.416436516</v>
      </c>
      <c r="T16" s="19">
        <f t="shared" si="1"/>
        <v>64450438.070102267</v>
      </c>
      <c r="U16" s="19">
        <f t="shared" si="1"/>
        <v>64708239.822382674</v>
      </c>
      <c r="V16" s="19">
        <f t="shared" si="1"/>
        <v>85605872.78167221</v>
      </c>
      <c r="W16" s="19">
        <f t="shared" si="1"/>
        <v>514792718.40555054</v>
      </c>
      <c r="X16" s="19">
        <f t="shared" si="1"/>
        <v>63937911.769359082</v>
      </c>
      <c r="Y16" s="19">
        <f t="shared" si="1"/>
        <v>64193663.416436516</v>
      </c>
      <c r="Z16" s="19">
        <f t="shared" si="1"/>
        <v>64450438.070102267</v>
      </c>
    </row>
    <row r="17" spans="1:26" x14ac:dyDescent="0.2">
      <c r="B17" t="s">
        <v>123</v>
      </c>
      <c r="C17" s="19">
        <f>'Sales Forecast'!C15*Assumptions!$E$19</f>
        <v>0</v>
      </c>
      <c r="D17" s="19">
        <f>'Sales Forecast'!D15*Assumptions!$E$19</f>
        <v>3095820</v>
      </c>
      <c r="E17" s="19">
        <f>'Sales Forecast'!E15*Assumptions!$E$19</f>
        <v>3108203.28</v>
      </c>
      <c r="F17" s="19">
        <f>'Sales Forecast'!F15*Assumptions!$E$19</f>
        <v>3120636.0931199999</v>
      </c>
      <c r="G17" s="19">
        <f>'Sales Forecast'!G15*Assumptions!$E$19</f>
        <v>3133118.6374924802</v>
      </c>
      <c r="H17" s="19">
        <f>'Sales Forecast'!H15*Assumptions!$E$19</f>
        <v>3145651.1120424503</v>
      </c>
      <c r="I17" s="19">
        <f>'Sales Forecast'!I15*Assumptions!$E$19</f>
        <v>3158233.7164906194</v>
      </c>
      <c r="J17" s="19">
        <f>'Sales Forecast'!J15*Assumptions!$E$19</f>
        <v>3170866.6513565821</v>
      </c>
      <c r="K17" s="19">
        <f>'Sales Forecast'!K15*Assumptions!$E$19</f>
        <v>3183550.1179620083</v>
      </c>
      <c r="L17" s="19">
        <f>'Sales Forecast'!L15*Assumptions!$E$19</f>
        <v>3196284.3184338571</v>
      </c>
      <c r="M17" s="19">
        <f>'Sales Forecast'!M15*Assumptions!$E$19</f>
        <v>3209069.4557075924</v>
      </c>
      <c r="N17" s="19">
        <f>'Sales Forecast'!N15*Assumptions!$E$19</f>
        <v>3221905.7335304222</v>
      </c>
      <c r="O17" s="19">
        <f>'Sales Forecast'!O15*Assumptions!$E$19</f>
        <v>3234793.3564645443</v>
      </c>
      <c r="P17" s="19">
        <f>'Sales Forecast'!P15*Assumptions!$E$19</f>
        <v>3247732.5298904032</v>
      </c>
      <c r="Q17" s="19">
        <f>'Sales Forecast'!Q15*Assumptions!$E$19</f>
        <v>3260723.4600099642</v>
      </c>
      <c r="R17" s="19">
        <f>'Sales Forecast'!R15*Assumptions!$E$19</f>
        <v>3273766.3538500047</v>
      </c>
      <c r="S17" s="19">
        <f>'Sales Forecast'!S15*Assumptions!$E$19</f>
        <v>3286861.4192654043</v>
      </c>
      <c r="T17" s="19">
        <f>'Sales Forecast'!T15*Assumptions!$E$19</f>
        <v>3300008.8649424664</v>
      </c>
      <c r="U17" s="19">
        <f>'Sales Forecast'!U15*Assumptions!$E$19</f>
        <v>3313208.9004022363</v>
      </c>
      <c r="V17" s="19">
        <f>'Sales Forecast'!V15*Assumptions!$E$19</f>
        <v>3326461.7360038455</v>
      </c>
      <c r="W17" s="19">
        <f>'Sales Forecast'!W15*Assumptions!$E$19</f>
        <v>3339767.58294786</v>
      </c>
      <c r="X17" s="19">
        <f>'Sales Forecast'!X15*Assumptions!$E$19</f>
        <v>0</v>
      </c>
      <c r="Y17" s="19">
        <f>'Sales Forecast'!Y15*Assumptions!$E$19</f>
        <v>0</v>
      </c>
      <c r="Z17" s="19">
        <f>'Sales Forecast'!Z15*Assumptions!$E$19</f>
        <v>0</v>
      </c>
    </row>
    <row r="18" spans="1:26" x14ac:dyDescent="0.2">
      <c r="A18" s="30" t="s">
        <v>99</v>
      </c>
      <c r="B18" s="30" t="s">
        <v>117</v>
      </c>
      <c r="C18" s="30">
        <f>'Sales Forecast'!C21*Assumptions!$E$14</f>
        <v>0</v>
      </c>
      <c r="D18" s="30">
        <f>'Sales Forecast'!D21*Assumptions!$E$14</f>
        <v>0</v>
      </c>
      <c r="E18" s="30">
        <f>'Sales Forecast'!E21*Assumptions!$E$14</f>
        <v>0</v>
      </c>
      <c r="F18" s="30">
        <f>'Sales Forecast'!F21*Assumptions!$E$14</f>
        <v>23872800.000000004</v>
      </c>
      <c r="G18" s="30">
        <f>'Sales Forecast'!G21*Assumptions!$E$14</f>
        <v>23968291.200000003</v>
      </c>
      <c r="H18" s="30">
        <f>'Sales Forecast'!H21*Assumptions!$E$14</f>
        <v>24064164.364800006</v>
      </c>
      <c r="I18" s="30">
        <f>'Sales Forecast'!I21*Assumptions!$E$14</f>
        <v>24160421.022259206</v>
      </c>
      <c r="J18" s="30">
        <f>'Sales Forecast'!J21*Assumptions!$E$14</f>
        <v>24257062.70634824</v>
      </c>
      <c r="K18" s="30">
        <f>'Sales Forecast'!K21*Assumptions!$E$14</f>
        <v>24354090.957173631</v>
      </c>
      <c r="L18" s="30">
        <f>'Sales Forecast'!L21*Assumptions!$E$14</f>
        <v>24451507.321002331</v>
      </c>
      <c r="M18" s="30">
        <f>'Sales Forecast'!M21*Assumptions!$E$14</f>
        <v>24549313.350286335</v>
      </c>
      <c r="N18" s="30">
        <f>'Sales Forecast'!N21*Assumptions!$E$14</f>
        <v>24647510.603687488</v>
      </c>
      <c r="O18" s="30">
        <f>'Sales Forecast'!O21*Assumptions!$E$14</f>
        <v>24746100.646102235</v>
      </c>
      <c r="P18" s="30">
        <f>'Sales Forecast'!P21*Assumptions!$E$14</f>
        <v>24845085.048686642</v>
      </c>
      <c r="Q18" s="30">
        <f>'Sales Forecast'!Q21*Assumptions!$E$14</f>
        <v>24944465.388881389</v>
      </c>
      <c r="R18" s="30">
        <f>'Sales Forecast'!R21*Assumptions!$E$14</f>
        <v>25044243.250436917</v>
      </c>
      <c r="S18" s="30">
        <f>'Sales Forecast'!S21*Assumptions!$E$14</f>
        <v>25144420.223438665</v>
      </c>
      <c r="T18" s="30">
        <f>'Sales Forecast'!T21*Assumptions!$E$14</f>
        <v>25244997.904332422</v>
      </c>
      <c r="U18" s="30">
        <f>'Sales Forecast'!U21*Assumptions!$E$14</f>
        <v>25345977.895949751</v>
      </c>
      <c r="V18" s="30">
        <f>'Sales Forecast'!V21*Assumptions!$E$14</f>
        <v>25447361.807533551</v>
      </c>
      <c r="W18" s="30">
        <f>'Sales Forecast'!W21*Assumptions!$E$14</f>
        <v>25549151.254763685</v>
      </c>
      <c r="X18" s="30">
        <f>'Sales Forecast'!X21*Assumptions!$E$14</f>
        <v>25651347.85978274</v>
      </c>
      <c r="Y18" s="30">
        <f>'Sales Forecast'!Y21*Assumptions!$E$14</f>
        <v>25753953.251221869</v>
      </c>
      <c r="Z18" s="30">
        <f>'Sales Forecast'!Z21*Assumptions!$E$14</f>
        <v>25856969.064226761</v>
      </c>
    </row>
    <row r="19" spans="1:26" x14ac:dyDescent="0.2">
      <c r="B19" t="s">
        <v>118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f>'Sales Forecast'!C21*Assumptions!$E$15</f>
        <v>0</v>
      </c>
      <c r="J19">
        <f>'Sales Forecast'!D21*Assumptions!$E$15</f>
        <v>0</v>
      </c>
      <c r="K19">
        <f>'Sales Forecast'!E21*Assumptions!$E$15</f>
        <v>0</v>
      </c>
      <c r="L19">
        <f>'Sales Forecast'!F21*Assumptions!$E$15</f>
        <v>23872800.000000004</v>
      </c>
      <c r="M19">
        <f>'Sales Forecast'!G21*Assumptions!$E$15</f>
        <v>23968291.200000003</v>
      </c>
      <c r="N19">
        <f>'Sales Forecast'!H21*Assumptions!$E$15</f>
        <v>24064164.364800006</v>
      </c>
      <c r="O19">
        <f>'Sales Forecast'!I21*Assumptions!$E$15</f>
        <v>24160421.022259206</v>
      </c>
      <c r="P19">
        <f>'Sales Forecast'!J21*Assumptions!$E$15</f>
        <v>24257062.70634824</v>
      </c>
      <c r="Q19">
        <f>'Sales Forecast'!K21*Assumptions!$E$15</f>
        <v>24354090.957173631</v>
      </c>
      <c r="R19">
        <f>'Sales Forecast'!L21*Assumptions!$E$15</f>
        <v>24451507.321002331</v>
      </c>
      <c r="S19">
        <f>'Sales Forecast'!M21*Assumptions!$E$15</f>
        <v>24549313.350286335</v>
      </c>
      <c r="T19">
        <f>'Sales Forecast'!N21*Assumptions!$E$15</f>
        <v>24647510.603687488</v>
      </c>
      <c r="U19">
        <f>'Sales Forecast'!O21*Assumptions!$E$15</f>
        <v>24746100.646102235</v>
      </c>
      <c r="V19">
        <f>'Sales Forecast'!P21*Assumptions!$E$15</f>
        <v>24845085.048686642</v>
      </c>
      <c r="W19">
        <f>'Sales Forecast'!Q21*Assumptions!$E$15</f>
        <v>24944465.388881389</v>
      </c>
      <c r="X19">
        <f>'Sales Forecast'!R21*Assumptions!$E$15</f>
        <v>25044243.250436917</v>
      </c>
      <c r="Y19">
        <f>'Sales Forecast'!S21*Assumptions!$E$15</f>
        <v>25144420.223438665</v>
      </c>
      <c r="Z19">
        <f>'Sales Forecast'!T21*Assumptions!$E$15</f>
        <v>25244997.904332422</v>
      </c>
    </row>
    <row r="20" spans="1:26" x14ac:dyDescent="0.2">
      <c r="B20" t="s">
        <v>119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>'Sales Forecast'!C21*Assumptions!$E$16</f>
        <v>0</v>
      </c>
      <c r="P20">
        <f>'Sales Forecast'!D21*Assumptions!$E$16</f>
        <v>0</v>
      </c>
      <c r="Q20">
        <f>'Sales Forecast'!E21*Assumptions!$E$16</f>
        <v>0</v>
      </c>
      <c r="R20">
        <f>'Sales Forecast'!F21*Assumptions!$E$16</f>
        <v>23872800.000000004</v>
      </c>
      <c r="S20">
        <f>'Sales Forecast'!G21*Assumptions!$E$16</f>
        <v>23968291.200000003</v>
      </c>
      <c r="T20">
        <f>'Sales Forecast'!H21*Assumptions!$E$16</f>
        <v>24064164.364800006</v>
      </c>
      <c r="U20">
        <f>'Sales Forecast'!I21*Assumptions!$E$16</f>
        <v>24160421.022259206</v>
      </c>
      <c r="V20">
        <f>'Sales Forecast'!J21*Assumptions!$E$16</f>
        <v>24257062.70634824</v>
      </c>
      <c r="W20">
        <f>'Sales Forecast'!K21*Assumptions!$E$16</f>
        <v>24354090.957173631</v>
      </c>
      <c r="X20">
        <f>'Sales Forecast'!L21*Assumptions!$E$16</f>
        <v>24451507.321002331</v>
      </c>
      <c r="Y20">
        <f>'Sales Forecast'!M21*Assumptions!$E$16</f>
        <v>24549313.350286335</v>
      </c>
      <c r="Z20">
        <f>'Sales Forecast'!N21*Assumptions!$E$16</f>
        <v>24647510.603687488</v>
      </c>
    </row>
    <row r="21" spans="1:26" x14ac:dyDescent="0.2">
      <c r="B21" t="s">
        <v>120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f>'Sales Forecast'!C21*Assumptions!$E$17</f>
        <v>0</v>
      </c>
      <c r="V21">
        <f>'Sales Forecast'!D21*Assumptions!$E$17</f>
        <v>0</v>
      </c>
      <c r="W21">
        <f>'Sales Forecast'!E21*Assumptions!$E$17</f>
        <v>0</v>
      </c>
      <c r="X21">
        <f>'Sales Forecast'!F21*Assumptions!$E$17</f>
        <v>23872800.000000004</v>
      </c>
      <c r="Y21">
        <f>'Sales Forecast'!G21*Assumptions!$E$17</f>
        <v>23968291.200000003</v>
      </c>
      <c r="Z21">
        <f>'Sales Forecast'!H21*Assumptions!$E$17</f>
        <v>24064164.364800006</v>
      </c>
    </row>
    <row r="22" spans="1:26" x14ac:dyDescent="0.2">
      <c r="B22" t="s">
        <v>121</v>
      </c>
      <c r="C22">
        <f>IF(C$3&gt;=EDATE('Project Database'!$E$6,ROUND('Scenario Toggle'!$E$12,0)),MAX(0,SUM('Sales Forecast'!$C$21:C21)*Assumptions!$E$18-0),0)</f>
        <v>0</v>
      </c>
      <c r="D22">
        <f>IF(D$3&gt;=EDATE('Project Database'!$E$6,ROUND('Scenario Toggle'!$E$12,0)),MAX(0,SUM('Sales Forecast'!$C$21:D21)*Assumptions!$E$18-SUM(C22)),0)</f>
        <v>0</v>
      </c>
      <c r="E22">
        <f>IF(E$3&gt;=EDATE('Project Database'!$E$6,ROUND('Scenario Toggle'!$E$12,0)),MAX(0,SUM('Sales Forecast'!$C$21:E21)*Assumptions!$E$18-SUM(C22:D22)),0)</f>
        <v>0</v>
      </c>
      <c r="F22">
        <f>IF(F$3&gt;=EDATE('Project Database'!$E$6,ROUND('Scenario Toggle'!$E$12,0)),MAX(0,SUM('Sales Forecast'!$C$21:F21)*Assumptions!$E$18-SUM(C22:E22)),0)</f>
        <v>0</v>
      </c>
      <c r="G22">
        <f>IF(G$3&gt;=EDATE('Project Database'!$E$6,ROUND('Scenario Toggle'!$E$12,0)),MAX(0,SUM('Sales Forecast'!$C$21:G21)*Assumptions!$E$18-SUM(C22:F22)),0)</f>
        <v>0</v>
      </c>
      <c r="H22">
        <f>IF(H$3&gt;=EDATE('Project Database'!$E$6,ROUND('Scenario Toggle'!$E$12,0)),MAX(0,SUM('Sales Forecast'!$C$21:H21)*Assumptions!$E$18-SUM(C22:G22)),0)</f>
        <v>0</v>
      </c>
      <c r="I22">
        <f>IF(I$3&gt;=EDATE('Project Database'!$E$6,ROUND('Scenario Toggle'!$E$12,0)),MAX(0,SUM('Sales Forecast'!$C$21:I21)*Assumptions!$E$18-SUM(C22:H22)),0)</f>
        <v>0</v>
      </c>
      <c r="J22">
        <f>IF(J$3&gt;=EDATE('Project Database'!$E$6,ROUND('Scenario Toggle'!$E$12,0)),MAX(0,SUM('Sales Forecast'!$C$21:J21)*Assumptions!$E$18-SUM(C22:I22)),0)</f>
        <v>0</v>
      </c>
      <c r="K22">
        <f>IF(K$3&gt;=EDATE('Project Database'!$E$6,ROUND('Scenario Toggle'!$E$12,0)),MAX(0,SUM('Sales Forecast'!$C$21:K21)*Assumptions!$E$18-SUM(C22:J22)),0)</f>
        <v>0</v>
      </c>
      <c r="L22">
        <f>IF(L$3&gt;=EDATE('Project Database'!$E$6,ROUND('Scenario Toggle'!$E$12,0)),MAX(0,SUM('Sales Forecast'!$C$21:L21)*Assumptions!$E$18-SUM(C22:K22)),0)</f>
        <v>0</v>
      </c>
      <c r="M22">
        <f>IF(M$3&gt;=EDATE('Project Database'!$E$6,ROUND('Scenario Toggle'!$E$12,0)),MAX(0,SUM('Sales Forecast'!$C$21:M21)*Assumptions!$E$18-SUM(C22:L22)),0)</f>
        <v>0</v>
      </c>
      <c r="N22">
        <f>IF(N$3&gt;=EDATE('Project Database'!$E$6,ROUND('Scenario Toggle'!$E$12,0)),MAX(0,SUM('Sales Forecast'!$C$21:N21)*Assumptions!$E$18-SUM(C22:M22)),0)</f>
        <v>0</v>
      </c>
      <c r="O22">
        <f>IF(O$3&gt;=EDATE('Project Database'!$E$6,ROUND('Scenario Toggle'!$E$12,0)),MAX(0,SUM('Sales Forecast'!$C$21:O21)*Assumptions!$E$18-SUM(C22:N22)),0)</f>
        <v>0</v>
      </c>
      <c r="P22">
        <f>IF(P$3&gt;=EDATE('Project Database'!$E$6,ROUND('Scenario Toggle'!$E$12,0)),MAX(0,SUM('Sales Forecast'!$C$21:P21)*Assumptions!$E$18-SUM(C22:O22)),0)</f>
        <v>0</v>
      </c>
      <c r="Q22">
        <f>IF(Q$3&gt;=EDATE('Project Database'!$E$6,ROUND('Scenario Toggle'!$E$12,0)),MAX(0,SUM('Sales Forecast'!$C$21:Q21)*Assumptions!$E$18-SUM(C22:P22)),0)</f>
        <v>0</v>
      </c>
      <c r="R22">
        <f>IF(R$3&gt;=EDATE('Project Database'!$E$6,ROUND('Scenario Toggle'!$E$12,0)),MAX(0,SUM('Sales Forecast'!$C$21:R21)*Assumptions!$E$18-SUM(C22:Q22)),0)</f>
        <v>0</v>
      </c>
      <c r="S22">
        <f>IF(S$3&gt;=EDATE('Project Database'!$E$6,ROUND('Scenario Toggle'!$E$12,0)),MAX(0,SUM('Sales Forecast'!$C$21:S21)*Assumptions!$E$18-SUM(C22:R22)),0)</f>
        <v>0</v>
      </c>
      <c r="T22">
        <f>IF(T$3&gt;=EDATE('Project Database'!$E$6,ROUND('Scenario Toggle'!$E$12,0)),MAX(0,SUM('Sales Forecast'!$C$21:T21)*Assumptions!$E$18-SUM(C22:S22)),0)</f>
        <v>0</v>
      </c>
      <c r="U22">
        <f>IF(U$3&gt;=EDATE('Project Database'!$E$6,ROUND('Scenario Toggle'!$E$12,0)),MAX(0,SUM('Sales Forecast'!$C$21:U21)*Assumptions!$E$18-SUM(C22:T22)),0)</f>
        <v>0</v>
      </c>
      <c r="V22">
        <f>IF(V$3&gt;=EDATE('Project Database'!$E$6,ROUND('Scenario Toggle'!$E$12,0)),MAX(0,SUM('Sales Forecast'!$C$21:V21)*Assumptions!$E$18-SUM(C22:U22)),0)</f>
        <v>0</v>
      </c>
      <c r="W22">
        <f>IF(W$3&gt;=EDATE('Project Database'!$E$6,ROUND('Scenario Toggle'!$E$12,0)),MAX(0,SUM('Sales Forecast'!$C$21:W21)*Assumptions!$E$18-SUM(C22:V22)),0)</f>
        <v>0</v>
      </c>
      <c r="X22">
        <f>IF(X$3&gt;=EDATE('Project Database'!$E$6,ROUND('Scenario Toggle'!$E$12,0)),MAX(0,SUM('Sales Forecast'!$C$21:X21)*Assumptions!$E$18-SUM(C22:W22)),0)</f>
        <v>0</v>
      </c>
      <c r="Y22">
        <f>IF(Y$3&gt;=EDATE('Project Database'!$E$6,ROUND('Scenario Toggle'!$E$12,0)),MAX(0,SUM('Sales Forecast'!$C$21:Y21)*Assumptions!$E$18-SUM(C22:X22)),0)</f>
        <v>0</v>
      </c>
      <c r="Z22">
        <f>IF(Z$3&gt;=EDATE('Project Database'!$E$6,ROUND('Scenario Toggle'!$E$12,0)),MAX(0,SUM('Sales Forecast'!$C$21:Z21)*Assumptions!$E$18-SUM(C22:Y22)),0)</f>
        <v>521899235.12091374</v>
      </c>
    </row>
    <row r="23" spans="1:26" x14ac:dyDescent="0.2">
      <c r="B23" t="s">
        <v>122</v>
      </c>
      <c r="C23" s="19">
        <f t="shared" ref="C23:Z23" si="2">SUM(C18:C22)</f>
        <v>0</v>
      </c>
      <c r="D23" s="19">
        <f t="shared" si="2"/>
        <v>0</v>
      </c>
      <c r="E23" s="19">
        <f t="shared" si="2"/>
        <v>0</v>
      </c>
      <c r="F23" s="19">
        <f t="shared" si="2"/>
        <v>23872800.000000004</v>
      </c>
      <c r="G23" s="19">
        <f t="shared" si="2"/>
        <v>23968291.200000003</v>
      </c>
      <c r="H23" s="19">
        <f t="shared" si="2"/>
        <v>24064164.364800006</v>
      </c>
      <c r="I23" s="19">
        <f t="shared" si="2"/>
        <v>24160421.022259206</v>
      </c>
      <c r="J23" s="19">
        <f t="shared" si="2"/>
        <v>24257062.70634824</v>
      </c>
      <c r="K23" s="19">
        <f t="shared" si="2"/>
        <v>24354090.957173631</v>
      </c>
      <c r="L23" s="19">
        <f t="shared" si="2"/>
        <v>48324307.321002334</v>
      </c>
      <c r="M23" s="19">
        <f t="shared" si="2"/>
        <v>48517604.550286338</v>
      </c>
      <c r="N23" s="19">
        <f t="shared" si="2"/>
        <v>48711674.968487494</v>
      </c>
      <c r="O23" s="19">
        <f t="shared" si="2"/>
        <v>48906521.66836144</v>
      </c>
      <c r="P23" s="19">
        <f t="shared" si="2"/>
        <v>49102147.755034879</v>
      </c>
      <c r="Q23" s="19">
        <f t="shared" si="2"/>
        <v>49298556.346055016</v>
      </c>
      <c r="R23" s="19">
        <f t="shared" si="2"/>
        <v>73368550.571439251</v>
      </c>
      <c r="S23" s="19">
        <f t="shared" si="2"/>
        <v>73662024.773725003</v>
      </c>
      <c r="T23" s="19">
        <f t="shared" si="2"/>
        <v>73956672.872819915</v>
      </c>
      <c r="U23" s="19">
        <f t="shared" si="2"/>
        <v>74252499.564311191</v>
      </c>
      <c r="V23" s="19">
        <f t="shared" si="2"/>
        <v>74549509.562568426</v>
      </c>
      <c r="W23" s="19">
        <f t="shared" si="2"/>
        <v>74847707.600818709</v>
      </c>
      <c r="X23" s="19">
        <f t="shared" si="2"/>
        <v>99019898.431221992</v>
      </c>
      <c r="Y23" s="19">
        <f t="shared" si="2"/>
        <v>99415978.024946868</v>
      </c>
      <c r="Z23" s="19">
        <f t="shared" si="2"/>
        <v>621712877.05796039</v>
      </c>
    </row>
    <row r="24" spans="1:26" x14ac:dyDescent="0.2">
      <c r="B24" t="s">
        <v>123</v>
      </c>
      <c r="C24" s="19">
        <f>'Sales Forecast'!C21*Assumptions!$E$19</f>
        <v>0</v>
      </c>
      <c r="D24" s="19">
        <f>'Sales Forecast'!D21*Assumptions!$E$19</f>
        <v>0</v>
      </c>
      <c r="E24" s="19">
        <f>'Sales Forecast'!E21*Assumptions!$E$19</f>
        <v>0</v>
      </c>
      <c r="F24" s="19">
        <f>'Sales Forecast'!F21*Assumptions!$E$19</f>
        <v>3580920.0000000005</v>
      </c>
      <c r="G24" s="19">
        <f>'Sales Forecast'!G21*Assumptions!$E$19</f>
        <v>3595243.68</v>
      </c>
      <c r="H24" s="19">
        <f>'Sales Forecast'!H21*Assumptions!$E$19</f>
        <v>3609624.6547200005</v>
      </c>
      <c r="I24" s="19">
        <f>'Sales Forecast'!I21*Assumptions!$E$19</f>
        <v>3624063.1533388803</v>
      </c>
      <c r="J24" s="19">
        <f>'Sales Forecast'!J21*Assumptions!$E$19</f>
        <v>3638559.4059522361</v>
      </c>
      <c r="K24" s="19">
        <f>'Sales Forecast'!K21*Assumptions!$E$19</f>
        <v>3653113.6435760446</v>
      </c>
      <c r="L24" s="19">
        <f>'Sales Forecast'!L21*Assumptions!$E$19</f>
        <v>3667726.0981503492</v>
      </c>
      <c r="M24" s="19">
        <f>'Sales Forecast'!M21*Assumptions!$E$19</f>
        <v>3682397.0025429502</v>
      </c>
      <c r="N24" s="19">
        <f>'Sales Forecast'!N21*Assumptions!$E$19</f>
        <v>3697126.5905531226</v>
      </c>
      <c r="O24" s="19">
        <f>'Sales Forecast'!O21*Assumptions!$E$19</f>
        <v>3711915.0969153345</v>
      </c>
      <c r="P24" s="19">
        <f>'Sales Forecast'!P21*Assumptions!$E$19</f>
        <v>3726762.7573029962</v>
      </c>
      <c r="Q24" s="19">
        <f>'Sales Forecast'!Q21*Assumptions!$E$19</f>
        <v>3741669.8083322081</v>
      </c>
      <c r="R24" s="19">
        <f>'Sales Forecast'!R21*Assumptions!$E$19</f>
        <v>3756636.4875655374</v>
      </c>
      <c r="S24" s="19">
        <f>'Sales Forecast'!S21*Assumptions!$E$19</f>
        <v>3771663.0335157998</v>
      </c>
      <c r="T24" s="19">
        <f>'Sales Forecast'!T21*Assumptions!$E$19</f>
        <v>3786749.685649863</v>
      </c>
      <c r="U24" s="19">
        <f>'Sales Forecast'!U21*Assumptions!$E$19</f>
        <v>3801896.6843924625</v>
      </c>
      <c r="V24" s="19">
        <f>'Sales Forecast'!V21*Assumptions!$E$19</f>
        <v>3817104.2711300324</v>
      </c>
      <c r="W24" s="19">
        <f>'Sales Forecast'!W21*Assumptions!$E$19</f>
        <v>3832372.6882145526</v>
      </c>
      <c r="X24" s="19">
        <f>'Sales Forecast'!X21*Assumptions!$E$19</f>
        <v>3847702.1789674107</v>
      </c>
      <c r="Y24" s="19">
        <f>'Sales Forecast'!Y21*Assumptions!$E$19</f>
        <v>3863092.9876832799</v>
      </c>
      <c r="Z24" s="19">
        <f>'Sales Forecast'!Z21*Assumptions!$E$19</f>
        <v>3878545.3596340138</v>
      </c>
    </row>
    <row r="25" spans="1:26" x14ac:dyDescent="0.2">
      <c r="A25" s="30" t="s">
        <v>101</v>
      </c>
      <c r="B25" s="30" t="s">
        <v>117</v>
      </c>
      <c r="C25" s="30">
        <f>'Sales Forecast'!C27*Assumptions!$E$14</f>
        <v>0</v>
      </c>
      <c r="D25" s="30">
        <f>'Sales Forecast'!D27*Assumptions!$E$14</f>
        <v>0</v>
      </c>
      <c r="E25" s="30">
        <f>'Sales Forecast'!E27*Assumptions!$E$14</f>
        <v>13912080</v>
      </c>
      <c r="F25" s="30">
        <f>'Sales Forecast'!F27*Assumptions!$E$14</f>
        <v>13967728.320000002</v>
      </c>
      <c r="G25" s="30">
        <f>'Sales Forecast'!G27*Assumptions!$E$14</f>
        <v>14023599.233280001</v>
      </c>
      <c r="H25" s="30">
        <f>'Sales Forecast'!H27*Assumptions!$E$14</f>
        <v>14079693.630213121</v>
      </c>
      <c r="I25" s="30">
        <f>'Sales Forecast'!I27*Assumptions!$E$14</f>
        <v>14136012.404733974</v>
      </c>
      <c r="J25" s="30">
        <f>'Sales Forecast'!J27*Assumptions!$E$14</f>
        <v>14192556.45435291</v>
      </c>
      <c r="K25" s="30">
        <f>'Sales Forecast'!K27*Assumptions!$E$14</f>
        <v>14249326.680170322</v>
      </c>
      <c r="L25" s="30">
        <f>'Sales Forecast'!L27*Assumptions!$E$14</f>
        <v>14306323.986891001</v>
      </c>
      <c r="M25" s="30">
        <f>'Sales Forecast'!M27*Assumptions!$E$14</f>
        <v>14363549.282838568</v>
      </c>
      <c r="N25" s="30">
        <f>'Sales Forecast'!N27*Assumptions!$E$14</f>
        <v>14421003.479969926</v>
      </c>
      <c r="O25" s="30">
        <f>'Sales Forecast'!O27*Assumptions!$E$14</f>
        <v>14478687.493889801</v>
      </c>
      <c r="P25" s="30">
        <f>'Sales Forecast'!P27*Assumptions!$E$14</f>
        <v>14536602.243865363</v>
      </c>
      <c r="Q25" s="30">
        <f>'Sales Forecast'!Q27*Assumptions!$E$14</f>
        <v>14594748.652840823</v>
      </c>
      <c r="R25" s="30">
        <f>'Sales Forecast'!R27*Assumptions!$E$14</f>
        <v>14653127.647452189</v>
      </c>
      <c r="S25" s="30">
        <f>'Sales Forecast'!S27*Assumptions!$E$14</f>
        <v>14711740.158041997</v>
      </c>
      <c r="T25" s="30">
        <f>'Sales Forecast'!T27*Assumptions!$E$14</f>
        <v>14770587.118674167</v>
      </c>
      <c r="U25" s="30">
        <f>'Sales Forecast'!U27*Assumptions!$E$14</f>
        <v>14829669.467148865</v>
      </c>
      <c r="V25" s="30">
        <f>'Sales Forecast'!V27*Assumptions!$E$14</f>
        <v>14888988.14501746</v>
      </c>
      <c r="W25" s="30">
        <f>'Sales Forecast'!W27*Assumptions!$E$14</f>
        <v>14948544.097597528</v>
      </c>
      <c r="X25" s="30">
        <f>'Sales Forecast'!X27*Assumptions!$E$14</f>
        <v>15008338.273987917</v>
      </c>
      <c r="Y25" s="30">
        <f>'Sales Forecast'!Y27*Assumptions!$E$14</f>
        <v>6027348.6508335397</v>
      </c>
      <c r="Z25" s="30">
        <f>'Sales Forecast'!Z27*Assumptions!$E$14</f>
        <v>0</v>
      </c>
    </row>
    <row r="26" spans="1:26" x14ac:dyDescent="0.2">
      <c r="B26" t="s">
        <v>118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>'Sales Forecast'!C27*Assumptions!$E$15</f>
        <v>0</v>
      </c>
      <c r="J26">
        <f>'Sales Forecast'!D27*Assumptions!$E$15</f>
        <v>0</v>
      </c>
      <c r="K26">
        <f>'Sales Forecast'!E27*Assumptions!$E$15</f>
        <v>13912080</v>
      </c>
      <c r="L26">
        <f>'Sales Forecast'!F27*Assumptions!$E$15</f>
        <v>13967728.320000002</v>
      </c>
      <c r="M26">
        <f>'Sales Forecast'!G27*Assumptions!$E$15</f>
        <v>14023599.233280001</v>
      </c>
      <c r="N26">
        <f>'Sales Forecast'!H27*Assumptions!$E$15</f>
        <v>14079693.630213121</v>
      </c>
      <c r="O26">
        <f>'Sales Forecast'!I27*Assumptions!$E$15</f>
        <v>14136012.404733974</v>
      </c>
      <c r="P26">
        <f>'Sales Forecast'!J27*Assumptions!$E$15</f>
        <v>14192556.45435291</v>
      </c>
      <c r="Q26">
        <f>'Sales Forecast'!K27*Assumptions!$E$15</f>
        <v>14249326.680170322</v>
      </c>
      <c r="R26">
        <f>'Sales Forecast'!L27*Assumptions!$E$15</f>
        <v>14306323.986891001</v>
      </c>
      <c r="S26">
        <f>'Sales Forecast'!M27*Assumptions!$E$15</f>
        <v>14363549.282838568</v>
      </c>
      <c r="T26">
        <f>'Sales Forecast'!N27*Assumptions!$E$15</f>
        <v>14421003.479969926</v>
      </c>
      <c r="U26">
        <f>'Sales Forecast'!O27*Assumptions!$E$15</f>
        <v>14478687.493889801</v>
      </c>
      <c r="V26">
        <f>'Sales Forecast'!P27*Assumptions!$E$15</f>
        <v>14536602.243865363</v>
      </c>
      <c r="W26">
        <f>'Sales Forecast'!Q27*Assumptions!$E$15</f>
        <v>14594748.652840823</v>
      </c>
      <c r="X26">
        <f>'Sales Forecast'!R27*Assumptions!$E$15</f>
        <v>14653127.647452189</v>
      </c>
      <c r="Y26">
        <f>'Sales Forecast'!S27*Assumptions!$E$15</f>
        <v>14711740.158041997</v>
      </c>
      <c r="Z26">
        <f>'Sales Forecast'!T27*Assumptions!$E$15</f>
        <v>14770587.118674167</v>
      </c>
    </row>
    <row r="27" spans="1:26" x14ac:dyDescent="0.2"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f>'Sales Forecast'!C27*Assumptions!$E$16</f>
        <v>0</v>
      </c>
      <c r="P27">
        <f>'Sales Forecast'!D27*Assumptions!$E$16</f>
        <v>0</v>
      </c>
      <c r="Q27">
        <f>'Sales Forecast'!E27*Assumptions!$E$16</f>
        <v>13912080</v>
      </c>
      <c r="R27">
        <f>'Sales Forecast'!F27*Assumptions!$E$16</f>
        <v>13967728.320000002</v>
      </c>
      <c r="S27">
        <f>'Sales Forecast'!G27*Assumptions!$E$16</f>
        <v>14023599.233280001</v>
      </c>
      <c r="T27">
        <f>'Sales Forecast'!H27*Assumptions!$E$16</f>
        <v>14079693.630213121</v>
      </c>
      <c r="U27">
        <f>'Sales Forecast'!I27*Assumptions!$E$16</f>
        <v>14136012.404733974</v>
      </c>
      <c r="V27">
        <f>'Sales Forecast'!J27*Assumptions!$E$16</f>
        <v>14192556.45435291</v>
      </c>
      <c r="W27">
        <f>'Sales Forecast'!K27*Assumptions!$E$16</f>
        <v>14249326.680170322</v>
      </c>
      <c r="X27">
        <f>'Sales Forecast'!L27*Assumptions!$E$16</f>
        <v>14306323.986891001</v>
      </c>
      <c r="Y27">
        <f>'Sales Forecast'!M27*Assumptions!$E$16</f>
        <v>14363549.282838568</v>
      </c>
      <c r="Z27">
        <f>'Sales Forecast'!N27*Assumptions!$E$16</f>
        <v>14421003.479969926</v>
      </c>
    </row>
    <row r="28" spans="1:26" x14ac:dyDescent="0.2">
      <c r="B28" t="s">
        <v>120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f>'Sales Forecast'!C27*Assumptions!$E$17</f>
        <v>0</v>
      </c>
      <c r="V28">
        <f>'Sales Forecast'!D27*Assumptions!$E$17</f>
        <v>0</v>
      </c>
      <c r="W28">
        <f>'Sales Forecast'!E27*Assumptions!$E$17</f>
        <v>13912080</v>
      </c>
      <c r="X28">
        <f>'Sales Forecast'!F27*Assumptions!$E$17</f>
        <v>13967728.320000002</v>
      </c>
      <c r="Y28">
        <f>'Sales Forecast'!G27*Assumptions!$E$17</f>
        <v>14023599.233280001</v>
      </c>
      <c r="Z28">
        <f>'Sales Forecast'!H27*Assumptions!$E$17</f>
        <v>14079693.630213121</v>
      </c>
    </row>
    <row r="29" spans="1:26" x14ac:dyDescent="0.2">
      <c r="B29" t="s">
        <v>121</v>
      </c>
      <c r="C29">
        <f>IF(C$3&gt;=EDATE('Project Database'!$E$7,ROUND('Scenario Toggle'!$E$12,0)),MAX(0,SUM('Sales Forecast'!$C$27:C27)*Assumptions!$E$18-0),0)</f>
        <v>0</v>
      </c>
      <c r="D29">
        <f>IF(D$3&gt;=EDATE('Project Database'!$E$7,ROUND('Scenario Toggle'!$E$12,0)),MAX(0,SUM('Sales Forecast'!$C$27:D27)*Assumptions!$E$18-SUM(C29)),0)</f>
        <v>0</v>
      </c>
      <c r="E29">
        <f>IF(E$3&gt;=EDATE('Project Database'!$E$7,ROUND('Scenario Toggle'!$E$12,0)),MAX(0,SUM('Sales Forecast'!$C$27:E27)*Assumptions!$E$18-SUM(C29:D29)),0)</f>
        <v>0</v>
      </c>
      <c r="F29">
        <f>IF(F$3&gt;=EDATE('Project Database'!$E$7,ROUND('Scenario Toggle'!$E$12,0)),MAX(0,SUM('Sales Forecast'!$C$27:F27)*Assumptions!$E$18-SUM(C29:E29)),0)</f>
        <v>0</v>
      </c>
      <c r="G29">
        <f>IF(G$3&gt;=EDATE('Project Database'!$E$7,ROUND('Scenario Toggle'!$E$12,0)),MAX(0,SUM('Sales Forecast'!$C$27:G27)*Assumptions!$E$18-SUM(C29:F29)),0)</f>
        <v>0</v>
      </c>
      <c r="H29">
        <f>IF(H$3&gt;=EDATE('Project Database'!$E$7,ROUND('Scenario Toggle'!$E$12,0)),MAX(0,SUM('Sales Forecast'!$C$27:H27)*Assumptions!$E$18-SUM(C29:G29)),0)</f>
        <v>0</v>
      </c>
      <c r="I29">
        <f>IF(I$3&gt;=EDATE('Project Database'!$E$7,ROUND('Scenario Toggle'!$E$12,0)),MAX(0,SUM('Sales Forecast'!$C$27:I27)*Assumptions!$E$18-SUM(C29:H29)),0)</f>
        <v>0</v>
      </c>
      <c r="J29">
        <f>IF(J$3&gt;=EDATE('Project Database'!$E$7,ROUND('Scenario Toggle'!$E$12,0)),MAX(0,SUM('Sales Forecast'!$C$27:J27)*Assumptions!$E$18-SUM(C29:I29)),0)</f>
        <v>0</v>
      </c>
      <c r="K29">
        <f>IF(K$3&gt;=EDATE('Project Database'!$E$7,ROUND('Scenario Toggle'!$E$12,0)),MAX(0,SUM('Sales Forecast'!$C$27:K27)*Assumptions!$E$18-SUM(C29:J29)),0)</f>
        <v>0</v>
      </c>
      <c r="L29">
        <f>IF(L$3&gt;=EDATE('Project Database'!$E$7,ROUND('Scenario Toggle'!$E$12,0)),MAX(0,SUM('Sales Forecast'!$C$27:L27)*Assumptions!$E$18-SUM(C29:K29)),0)</f>
        <v>0</v>
      </c>
      <c r="M29">
        <f>IF(M$3&gt;=EDATE('Project Database'!$E$7,ROUND('Scenario Toggle'!$E$12,0)),MAX(0,SUM('Sales Forecast'!$C$27:M27)*Assumptions!$E$18-SUM(C29:L29)),0)</f>
        <v>0</v>
      </c>
      <c r="N29">
        <f>IF(N$3&gt;=EDATE('Project Database'!$E$7,ROUND('Scenario Toggle'!$E$12,0)),MAX(0,SUM('Sales Forecast'!$C$27:N27)*Assumptions!$E$18-SUM(C29:M29)),0)</f>
        <v>0</v>
      </c>
      <c r="O29">
        <f>IF(O$3&gt;=EDATE('Project Database'!$E$7,ROUND('Scenario Toggle'!$E$12,0)),MAX(0,SUM('Sales Forecast'!$C$27:O27)*Assumptions!$E$18-SUM(C29:N29)),0)</f>
        <v>0</v>
      </c>
      <c r="P29">
        <f>IF(P$3&gt;=EDATE('Project Database'!$E$7,ROUND('Scenario Toggle'!$E$12,0)),MAX(0,SUM('Sales Forecast'!$C$27:P27)*Assumptions!$E$18-SUM(C29:O29)),0)</f>
        <v>0</v>
      </c>
      <c r="Q29">
        <f>IF(Q$3&gt;=EDATE('Project Database'!$E$7,ROUND('Scenario Toggle'!$E$12,0)),MAX(0,SUM('Sales Forecast'!$C$27:Q27)*Assumptions!$E$18-SUM(C29:P29)),0)</f>
        <v>0</v>
      </c>
      <c r="R29">
        <f>IF(R$3&gt;=EDATE('Project Database'!$E$7,ROUND('Scenario Toggle'!$E$12,0)),MAX(0,SUM('Sales Forecast'!$C$27:R27)*Assumptions!$E$18-SUM(C29:Q29)),0)</f>
        <v>0</v>
      </c>
      <c r="S29">
        <f>IF(S$3&gt;=EDATE('Project Database'!$E$7,ROUND('Scenario Toggle'!$E$12,0)),MAX(0,SUM('Sales Forecast'!$C$27:S27)*Assumptions!$E$18-SUM(C29:R29)),0)</f>
        <v>0</v>
      </c>
      <c r="T29">
        <f>IF(T$3&gt;=EDATE('Project Database'!$E$7,ROUND('Scenario Toggle'!$E$12,0)),MAX(0,SUM('Sales Forecast'!$C$27:T27)*Assumptions!$E$18-SUM(C29:S29)),0)</f>
        <v>0</v>
      </c>
      <c r="U29">
        <f>IF(U$3&gt;=EDATE('Project Database'!$E$7,ROUND('Scenario Toggle'!$E$12,0)),MAX(0,SUM('Sales Forecast'!$C$27:U27)*Assumptions!$E$18-SUM(C29:T29)),0)</f>
        <v>0</v>
      </c>
      <c r="V29">
        <f>IF(V$3&gt;=EDATE('Project Database'!$E$7,ROUND('Scenario Toggle'!$E$12,0)),MAX(0,SUM('Sales Forecast'!$C$27:V27)*Assumptions!$E$18-SUM(C29:U29)),0)</f>
        <v>0</v>
      </c>
      <c r="W29">
        <f>IF(W$3&gt;=EDATE('Project Database'!$E$7,ROUND('Scenario Toggle'!$E$12,0)),MAX(0,SUM('Sales Forecast'!$C$27:W27)*Assumptions!$E$18-SUM(C29:V29)),0)</f>
        <v>0</v>
      </c>
      <c r="X29">
        <f>IF(X$3&gt;=EDATE('Project Database'!$E$7,ROUND('Scenario Toggle'!$E$12,0)),MAX(0,SUM('Sales Forecast'!$C$27:X27)*Assumptions!$E$18-SUM(C29:W29)),0)</f>
        <v>0</v>
      </c>
      <c r="Y29">
        <f>IF(Y$3&gt;=EDATE('Project Database'!$E$7,ROUND('Scenario Toggle'!$E$12,0)),MAX(0,SUM('Sales Forecast'!$C$27:Y27)*Assumptions!$E$18-SUM(C29:X29)),0)</f>
        <v>295100255.4217996</v>
      </c>
      <c r="Z29">
        <f>IF(Z$3&gt;=EDATE('Project Database'!$E$7,ROUND('Scenario Toggle'!$E$12,0)),MAX(0,SUM('Sales Forecast'!$C$27:Z27)*Assumptions!$E$18-SUM(C29:Y29)),0)</f>
        <v>0</v>
      </c>
    </row>
    <row r="30" spans="1:26" x14ac:dyDescent="0.2">
      <c r="B30" t="s">
        <v>122</v>
      </c>
      <c r="C30" s="19">
        <f t="shared" ref="C30:Z30" si="3">SUM(C25:C29)</f>
        <v>0</v>
      </c>
      <c r="D30" s="19">
        <f t="shared" si="3"/>
        <v>0</v>
      </c>
      <c r="E30" s="19">
        <f t="shared" si="3"/>
        <v>13912080</v>
      </c>
      <c r="F30" s="19">
        <f t="shared" si="3"/>
        <v>13967728.320000002</v>
      </c>
      <c r="G30" s="19">
        <f t="shared" si="3"/>
        <v>14023599.233280001</v>
      </c>
      <c r="H30" s="19">
        <f t="shared" si="3"/>
        <v>14079693.630213121</v>
      </c>
      <c r="I30" s="19">
        <f t="shared" si="3"/>
        <v>14136012.404733974</v>
      </c>
      <c r="J30" s="19">
        <f t="shared" si="3"/>
        <v>14192556.45435291</v>
      </c>
      <c r="K30" s="19">
        <f t="shared" si="3"/>
        <v>28161406.68017032</v>
      </c>
      <c r="L30" s="19">
        <f t="shared" si="3"/>
        <v>28274052.306891002</v>
      </c>
      <c r="M30" s="19">
        <f t="shared" si="3"/>
        <v>28387148.516118571</v>
      </c>
      <c r="N30" s="19">
        <f t="shared" si="3"/>
        <v>28500697.110183045</v>
      </c>
      <c r="O30" s="19">
        <f t="shared" si="3"/>
        <v>28614699.898623776</v>
      </c>
      <c r="P30" s="19">
        <f t="shared" si="3"/>
        <v>28729158.698218271</v>
      </c>
      <c r="Q30" s="19">
        <f t="shared" si="3"/>
        <v>42756155.333011143</v>
      </c>
      <c r="R30" s="19">
        <f t="shared" si="3"/>
        <v>42927179.954343192</v>
      </c>
      <c r="S30" s="19">
        <f t="shared" si="3"/>
        <v>43098888.67416057</v>
      </c>
      <c r="T30" s="19">
        <f t="shared" si="3"/>
        <v>43271284.228857212</v>
      </c>
      <c r="U30" s="19">
        <f t="shared" si="3"/>
        <v>43444369.365772635</v>
      </c>
      <c r="V30" s="19">
        <f t="shared" si="3"/>
        <v>43618146.843235731</v>
      </c>
      <c r="W30" s="19">
        <f t="shared" si="3"/>
        <v>57704699.430608675</v>
      </c>
      <c r="X30" s="19">
        <f t="shared" si="3"/>
        <v>57935518.228331111</v>
      </c>
      <c r="Y30" s="19">
        <f t="shared" si="3"/>
        <v>344226492.74679369</v>
      </c>
      <c r="Z30" s="19">
        <f t="shared" si="3"/>
        <v>43271284.228857212</v>
      </c>
    </row>
    <row r="31" spans="1:26" x14ac:dyDescent="0.2">
      <c r="B31" t="s">
        <v>123</v>
      </c>
      <c r="C31" s="19">
        <f>'Sales Forecast'!C27*Assumptions!$E$19</f>
        <v>0</v>
      </c>
      <c r="D31" s="19">
        <f>'Sales Forecast'!D27*Assumptions!$E$19</f>
        <v>0</v>
      </c>
      <c r="E31" s="19">
        <f>'Sales Forecast'!E27*Assumptions!$E$19</f>
        <v>2086812</v>
      </c>
      <c r="F31" s="19">
        <f>'Sales Forecast'!F27*Assumptions!$E$19</f>
        <v>2095159.2480000001</v>
      </c>
      <c r="G31" s="19">
        <f>'Sales Forecast'!G27*Assumptions!$E$19</f>
        <v>2103539.8849919997</v>
      </c>
      <c r="H31" s="19">
        <f>'Sales Forecast'!H27*Assumptions!$E$19</f>
        <v>2111954.044531968</v>
      </c>
      <c r="I31" s="19">
        <f>'Sales Forecast'!I27*Assumptions!$E$19</f>
        <v>2120401.8607100961</v>
      </c>
      <c r="J31" s="19">
        <f>'Sales Forecast'!J27*Assumptions!$E$19</f>
        <v>2128883.4681529365</v>
      </c>
      <c r="K31" s="19">
        <f>'Sales Forecast'!K27*Assumptions!$E$19</f>
        <v>2137399.0020255484</v>
      </c>
      <c r="L31" s="19">
        <f>'Sales Forecast'!L27*Assumptions!$E$19</f>
        <v>2145948.5980336503</v>
      </c>
      <c r="M31" s="19">
        <f>'Sales Forecast'!M27*Assumptions!$E$19</f>
        <v>2154532.3924257853</v>
      </c>
      <c r="N31" s="19">
        <f>'Sales Forecast'!N27*Assumptions!$E$19</f>
        <v>2163150.5219954886</v>
      </c>
      <c r="O31" s="19">
        <f>'Sales Forecast'!O27*Assumptions!$E$19</f>
        <v>2171803.1240834701</v>
      </c>
      <c r="P31" s="19">
        <f>'Sales Forecast'!P27*Assumptions!$E$19</f>
        <v>2180490.3365798043</v>
      </c>
      <c r="Q31" s="19">
        <f>'Sales Forecast'!Q27*Assumptions!$E$19</f>
        <v>2189212.2979261233</v>
      </c>
      <c r="R31" s="19">
        <f>'Sales Forecast'!R27*Assumptions!$E$19</f>
        <v>2197969.147117828</v>
      </c>
      <c r="S31" s="19">
        <f>'Sales Forecast'!S27*Assumptions!$E$19</f>
        <v>2206761.0237062993</v>
      </c>
      <c r="T31" s="19">
        <f>'Sales Forecast'!T27*Assumptions!$E$19</f>
        <v>2215588.0678011249</v>
      </c>
      <c r="U31" s="19">
        <f>'Sales Forecast'!U27*Assumptions!$E$19</f>
        <v>2224450.4200723297</v>
      </c>
      <c r="V31" s="19">
        <f>'Sales Forecast'!V27*Assumptions!$E$19</f>
        <v>2233348.2217526189</v>
      </c>
      <c r="W31" s="19">
        <f>'Sales Forecast'!W27*Assumptions!$E$19</f>
        <v>2242281.6146396291</v>
      </c>
      <c r="X31" s="19">
        <f>'Sales Forecast'!X27*Assumptions!$E$19</f>
        <v>2251250.7410981874</v>
      </c>
      <c r="Y31" s="19">
        <f>'Sales Forecast'!Y27*Assumptions!$E$19</f>
        <v>904102.29762503097</v>
      </c>
      <c r="Z31" s="19">
        <f>'Sales Forecast'!Z27*Assumptions!$E$19</f>
        <v>0</v>
      </c>
    </row>
    <row r="33" spans="1:26" x14ac:dyDescent="0.2">
      <c r="A33" s="25" t="s">
        <v>113</v>
      </c>
      <c r="B33" s="25" t="s">
        <v>124</v>
      </c>
      <c r="C33" s="27">
        <f t="shared" ref="C33:Z33" si="4">C9+C16+C23+C30</f>
        <v>31360000</v>
      </c>
      <c r="D33" s="27">
        <f t="shared" si="4"/>
        <v>52124240</v>
      </c>
      <c r="E33" s="27">
        <f t="shared" si="4"/>
        <v>66244816.960000008</v>
      </c>
      <c r="F33" s="27">
        <f t="shared" si="4"/>
        <v>90382596.227840021</v>
      </c>
      <c r="G33" s="27">
        <f t="shared" si="4"/>
        <v>90744126.612751365</v>
      </c>
      <c r="H33" s="27">
        <f t="shared" si="4"/>
        <v>91107103.11920239</v>
      </c>
      <c r="I33" s="27">
        <f t="shared" si="4"/>
        <v>122831531.53167918</v>
      </c>
      <c r="J33" s="27">
        <f t="shared" si="4"/>
        <v>143961657.65780592</v>
      </c>
      <c r="K33" s="27">
        <f t="shared" si="4"/>
        <v>158449584.28843713</v>
      </c>
      <c r="L33" s="27">
        <f t="shared" si="4"/>
        <v>182956182.62559089</v>
      </c>
      <c r="M33" s="27">
        <f t="shared" si="4"/>
        <v>183688007.35609329</v>
      </c>
      <c r="N33" s="27">
        <f t="shared" si="4"/>
        <v>184422759.38551766</v>
      </c>
      <c r="O33" s="27">
        <f t="shared" si="4"/>
        <v>216520450.4230597</v>
      </c>
      <c r="P33" s="27">
        <f t="shared" si="4"/>
        <v>238025332.22475195</v>
      </c>
      <c r="Q33" s="27">
        <f t="shared" si="4"/>
        <v>252889513.55365098</v>
      </c>
      <c r="R33" s="27">
        <f t="shared" si="4"/>
        <v>277773871.60786557</v>
      </c>
      <c r="S33" s="27">
        <f t="shared" si="4"/>
        <v>278884967.09429705</v>
      </c>
      <c r="T33" s="27">
        <f t="shared" si="4"/>
        <v>864088474.0505985</v>
      </c>
      <c r="U33" s="27">
        <f t="shared" si="4"/>
        <v>278784157.12217319</v>
      </c>
      <c r="V33" s="27">
        <f t="shared" si="4"/>
        <v>300538093.75066191</v>
      </c>
      <c r="W33" s="27">
        <f t="shared" si="4"/>
        <v>744496748.25841618</v>
      </c>
      <c r="X33" s="27">
        <f t="shared" si="4"/>
        <v>318433557.74163622</v>
      </c>
      <c r="Y33" s="27">
        <f t="shared" si="4"/>
        <v>605766524.41815209</v>
      </c>
      <c r="Z33" s="27">
        <f t="shared" si="4"/>
        <v>827756711.14781463</v>
      </c>
    </row>
    <row r="34" spans="1:26" x14ac:dyDescent="0.2">
      <c r="A34" s="25"/>
      <c r="B34" s="25" t="s">
        <v>125</v>
      </c>
      <c r="C34" s="27">
        <f t="shared" ref="C34:Z34" si="5">C10+C17+C24+C31</f>
        <v>4704000</v>
      </c>
      <c r="D34" s="27">
        <f t="shared" si="5"/>
        <v>7818636</v>
      </c>
      <c r="E34" s="27">
        <f t="shared" si="5"/>
        <v>9936722.5439999998</v>
      </c>
      <c r="F34" s="27">
        <f t="shared" si="5"/>
        <v>13557389.434176</v>
      </c>
      <c r="G34" s="27">
        <f t="shared" si="5"/>
        <v>13611618.991912704</v>
      </c>
      <c r="H34" s="27">
        <f t="shared" si="5"/>
        <v>13666065.467880355</v>
      </c>
      <c r="I34" s="27">
        <f t="shared" si="5"/>
        <v>13720729.729751877</v>
      </c>
      <c r="J34" s="27">
        <f t="shared" si="5"/>
        <v>13775612.648670884</v>
      </c>
      <c r="K34" s="27">
        <f t="shared" si="5"/>
        <v>13830715.099265568</v>
      </c>
      <c r="L34" s="27">
        <f t="shared" si="5"/>
        <v>13886037.959662633</v>
      </c>
      <c r="M34" s="27">
        <f t="shared" si="5"/>
        <v>13941582.111501282</v>
      </c>
      <c r="N34" s="27">
        <f t="shared" si="5"/>
        <v>13997348.439947288</v>
      </c>
      <c r="O34" s="27">
        <f t="shared" si="5"/>
        <v>14053337.833707076</v>
      </c>
      <c r="P34" s="27">
        <f t="shared" si="5"/>
        <v>14109551.185041904</v>
      </c>
      <c r="Q34" s="27">
        <f t="shared" si="5"/>
        <v>14165989.389782075</v>
      </c>
      <c r="R34" s="27">
        <f t="shared" si="5"/>
        <v>14222653.347341202</v>
      </c>
      <c r="S34" s="27">
        <f t="shared" si="5"/>
        <v>14279543.960730568</v>
      </c>
      <c r="T34" s="27">
        <f t="shared" si="5"/>
        <v>14336662.13657349</v>
      </c>
      <c r="U34" s="27">
        <f t="shared" si="5"/>
        <v>9339556.0048670284</v>
      </c>
      <c r="V34" s="27">
        <f t="shared" si="5"/>
        <v>9376914.2288864963</v>
      </c>
      <c r="W34" s="27">
        <f t="shared" si="5"/>
        <v>9414421.8858020417</v>
      </c>
      <c r="X34" s="27">
        <f t="shared" si="5"/>
        <v>6098952.9200655986</v>
      </c>
      <c r="Y34" s="27">
        <f t="shared" si="5"/>
        <v>4767195.2853083108</v>
      </c>
      <c r="Z34" s="27">
        <f t="shared" si="5"/>
        <v>3878545.3596340138</v>
      </c>
    </row>
  </sheetData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AD30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" width="24" customWidth="1"/>
    <col min="3" max="3" width="14" customWidth="1"/>
    <col min="4" max="27" width="13" customWidth="1"/>
  </cols>
  <sheetData>
    <row r="1" spans="1:30" ht="18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x14ac:dyDescent="0.2">
      <c r="A3" s="9" t="s">
        <v>105</v>
      </c>
      <c r="B3" s="9" t="s">
        <v>106</v>
      </c>
      <c r="C3" s="9" t="s">
        <v>127</v>
      </c>
      <c r="D3" s="37">
        <v>46113</v>
      </c>
      <c r="E3" s="37">
        <v>46143</v>
      </c>
      <c r="F3" s="37">
        <v>46174</v>
      </c>
      <c r="G3" s="37">
        <v>46204</v>
      </c>
      <c r="H3" s="37">
        <v>46235</v>
      </c>
      <c r="I3" s="37">
        <v>46266</v>
      </c>
      <c r="J3" s="37">
        <v>46296</v>
      </c>
      <c r="K3" s="37">
        <v>46327</v>
      </c>
      <c r="L3" s="37">
        <v>46357</v>
      </c>
      <c r="M3" s="37">
        <v>46388</v>
      </c>
      <c r="N3" s="37">
        <v>46419</v>
      </c>
      <c r="O3" s="37">
        <v>46447</v>
      </c>
      <c r="P3" s="37">
        <v>46478</v>
      </c>
      <c r="Q3" s="37">
        <v>46508</v>
      </c>
      <c r="R3" s="37">
        <v>46539</v>
      </c>
      <c r="S3" s="37">
        <v>46569</v>
      </c>
      <c r="T3" s="37">
        <v>46600</v>
      </c>
      <c r="U3" s="37">
        <v>46631</v>
      </c>
      <c r="V3" s="37">
        <v>46661</v>
      </c>
      <c r="W3" s="37">
        <v>46692</v>
      </c>
      <c r="X3" s="37">
        <v>46722</v>
      </c>
      <c r="Y3" s="37">
        <v>46753</v>
      </c>
      <c r="Z3" s="37">
        <v>46784</v>
      </c>
      <c r="AA3" s="37">
        <v>46813</v>
      </c>
    </row>
    <row r="4" spans="1:30" x14ac:dyDescent="0.2">
      <c r="A4" s="30" t="s">
        <v>95</v>
      </c>
      <c r="B4" s="30" t="s">
        <v>128</v>
      </c>
      <c r="C4" s="38">
        <f>'Project Database'!$F$4</f>
        <v>900000000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30" x14ac:dyDescent="0.2">
      <c r="B5" t="s">
        <v>129</v>
      </c>
      <c r="D5" s="19">
        <f>IF(AND(D$3&gt;='Project Database'!$D$4,D$3&lt;=EDATE('Project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Database'!$D$4,D$3,"m"),0)</f>
        <v>50000000</v>
      </c>
      <c r="E5" s="19">
        <f>IF(AND(E$3&gt;='Project Database'!$D$4,E$3&lt;=EDATE('Project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Database'!$D$4,E$3,"m"),0)</f>
        <v>50125000</v>
      </c>
      <c r="F5" s="19">
        <f>IF(AND(F$3&gt;='Project Database'!$D$4,F$3&lt;=EDATE('Project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Database'!$D$4,F$3,"m"),0)</f>
        <v>50250312.499999993</v>
      </c>
      <c r="G5" s="19">
        <f>IF(AND(G$3&gt;='Project Database'!$D$4,G$3&lt;=EDATE('Project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Database'!$D$4,G$3,"m"),0)</f>
        <v>50375938.281249985</v>
      </c>
      <c r="H5" s="19">
        <f>IF(AND(H$3&gt;='Project Database'!$D$4,H$3&lt;=EDATE('Project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Database'!$D$4,H$3,"m"),0)</f>
        <v>50501878.126953118</v>
      </c>
      <c r="I5" s="19">
        <f>IF(AND(I$3&gt;='Project Database'!$D$4,I$3&lt;=EDATE('Project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Database'!$D$4,I$3,"m"),0)</f>
        <v>50628132.822270498</v>
      </c>
      <c r="J5" s="19">
        <f>IF(AND(J$3&gt;='Project Database'!$D$4,J$3&lt;=EDATE('Project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Database'!$D$4,J$3,"m"),0)</f>
        <v>50754703.154326163</v>
      </c>
      <c r="K5" s="19">
        <f>IF(AND(K$3&gt;='Project Database'!$D$4,K$3&lt;=EDATE('Project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Database'!$D$4,K$3,"m"),0)</f>
        <v>50881589.912211977</v>
      </c>
      <c r="L5" s="19">
        <f>IF(AND(L$3&gt;='Project Database'!$D$4,L$3&lt;=EDATE('Project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Database'!$D$4,L$3,"m"),0)</f>
        <v>51008793.886992507</v>
      </c>
      <c r="M5" s="19">
        <f>IF(AND(M$3&gt;='Project Database'!$D$4,M$3&lt;=EDATE('Project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Database'!$D$4,M$3,"m"),0)</f>
        <v>51136315.871709995</v>
      </c>
      <c r="N5" s="19">
        <f>IF(AND(N$3&gt;='Project Database'!$D$4,N$3&lt;=EDATE('Project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Database'!$D$4,N$3,"m"),0)</f>
        <v>51264156.661389261</v>
      </c>
      <c r="O5" s="19">
        <f>IF(AND(O$3&gt;='Project Database'!$D$4,O$3&lt;=EDATE('Project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Database'!$D$4,O$3,"m"),0)</f>
        <v>51392317.053042725</v>
      </c>
      <c r="P5" s="19">
        <f>IF(AND(P$3&gt;='Project Database'!$D$4,P$3&lt;=EDATE('Project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Database'!$D$4,P$3,"m"),0)</f>
        <v>51520797.845675334</v>
      </c>
      <c r="Q5" s="19">
        <f>IF(AND(Q$3&gt;='Project Database'!$D$4,Q$3&lt;=EDATE('Project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Database'!$D$4,Q$3,"m"),0)</f>
        <v>51649599.840289526</v>
      </c>
      <c r="R5" s="19">
        <f>IF(AND(R$3&gt;='Project Database'!$D$4,R$3&lt;=EDATE('Project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Database'!$D$4,R$3,"m"),0)</f>
        <v>51778723.839890242</v>
      </c>
      <c r="S5" s="19">
        <f>IF(AND(S$3&gt;='Project Database'!$D$4,S$3&lt;=EDATE('Project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Database'!$D$4,S$3,"m"),0)</f>
        <v>51908170.649489962</v>
      </c>
      <c r="T5" s="19">
        <f>IF(AND(T$3&gt;='Project Database'!$D$4,T$3&lt;=EDATE('Project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Database'!$D$4,T$3,"m"),0)</f>
        <v>52037941.076113693</v>
      </c>
      <c r="U5" s="19">
        <f>IF(AND(U$3&gt;='Project Database'!$D$4,U$3&lt;=EDATE('Project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Database'!$D$4,U$3,"m"),0)</f>
        <v>52168035.928803965</v>
      </c>
      <c r="V5" s="19">
        <f>IF(AND(V$3&gt;='Project Database'!$D$4,V$3&lt;=EDATE('Project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Database'!$D$4,V$3,"m"),0)</f>
        <v>0</v>
      </c>
      <c r="W5" s="19">
        <f>IF(AND(W$3&gt;='Project Database'!$D$4,W$3&lt;=EDATE('Project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Database'!$D$4,W$3,"m"),0)</f>
        <v>0</v>
      </c>
      <c r="X5" s="19">
        <f>IF(AND(X$3&gt;='Project Database'!$D$4,X$3&lt;=EDATE('Project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Database'!$D$4,X$3,"m"),0)</f>
        <v>0</v>
      </c>
      <c r="Y5" s="19">
        <f>IF(AND(Y$3&gt;='Project Database'!$D$4,Y$3&lt;=EDATE('Project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Database'!$D$4,Y$3,"m"),0)</f>
        <v>0</v>
      </c>
      <c r="Z5" s="19">
        <f>IF(AND(Z$3&gt;='Project Database'!$D$4,Z$3&lt;=EDATE('Project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Database'!$D$4,Z$3,"m"),0)</f>
        <v>0</v>
      </c>
      <c r="AA5" s="19">
        <f>IF(AND(AA$3&gt;='Project Database'!$D$4,AA$3&lt;=EDATE('Project Database'!$E$4,ROUND('Scenario Toggle'!$E$12,0))),('Project Database'!$F$4*(1+'Scenario Toggle'!$E$11))/MAX(1,DATEDIF('Project Database'!$D$4,EDATE('Project Database'!$E$4,ROUND('Scenario Toggle'!$E$12,0)),"m")+1)*(1+Assumptions!$E$6/12)^DATEDIF('Project Database'!$D$4,AA$3,"m"),0)</f>
        <v>0</v>
      </c>
    </row>
    <row r="6" spans="1:30" x14ac:dyDescent="0.2">
      <c r="B6" t="s">
        <v>130</v>
      </c>
      <c r="D6" s="19">
        <f>SUM($D5:D5)</f>
        <v>50000000</v>
      </c>
      <c r="E6" s="19">
        <f>SUM($D5:E5)</f>
        <v>100125000</v>
      </c>
      <c r="F6" s="19">
        <f>SUM($D5:F5)</f>
        <v>150375312.5</v>
      </c>
      <c r="G6" s="19">
        <f>SUM($D5:G5)</f>
        <v>200751250.78125</v>
      </c>
      <c r="H6" s="19">
        <f>SUM($D5:H5)</f>
        <v>251253128.90820312</v>
      </c>
      <c r="I6" s="19">
        <f>SUM($D5:I5)</f>
        <v>301881261.73047364</v>
      </c>
      <c r="J6" s="19">
        <f>SUM($D5:J5)</f>
        <v>352635964.88479978</v>
      </c>
      <c r="K6" s="19">
        <f>SUM($D5:K5)</f>
        <v>403517554.79701173</v>
      </c>
      <c r="L6" s="19">
        <f>SUM($D5:L5)</f>
        <v>454526348.68400425</v>
      </c>
      <c r="M6" s="19">
        <f>SUM($D5:M5)</f>
        <v>505662664.55571425</v>
      </c>
      <c r="N6" s="19">
        <f>SUM($D5:N5)</f>
        <v>556926821.21710348</v>
      </c>
      <c r="O6" s="19">
        <f>SUM($D5:O5)</f>
        <v>608319138.27014625</v>
      </c>
      <c r="P6" s="19">
        <f>SUM($D5:P5)</f>
        <v>659839936.1158216</v>
      </c>
      <c r="Q6" s="19">
        <f>SUM($D5:Q5)</f>
        <v>711489535.95611107</v>
      </c>
      <c r="R6" s="19">
        <f>SUM($D5:R5)</f>
        <v>763268259.79600132</v>
      </c>
      <c r="S6" s="19">
        <f>SUM($D5:S5)</f>
        <v>815176430.44549131</v>
      </c>
      <c r="T6" s="19">
        <f>SUM($D5:T5)</f>
        <v>867214371.52160501</v>
      </c>
      <c r="U6" s="19">
        <f>SUM($D5:U5)</f>
        <v>919382407.45040894</v>
      </c>
      <c r="V6" s="19">
        <f>SUM($D5:V5)</f>
        <v>919382407.45040894</v>
      </c>
      <c r="W6" s="19">
        <f>SUM($D5:W5)</f>
        <v>919382407.45040894</v>
      </c>
      <c r="X6" s="19">
        <f>SUM($D5:X5)</f>
        <v>919382407.45040894</v>
      </c>
      <c r="Y6" s="19">
        <f>SUM($D5:Y5)</f>
        <v>919382407.45040894</v>
      </c>
      <c r="Z6" s="19">
        <f>SUM($D5:Z5)</f>
        <v>919382407.45040894</v>
      </c>
      <c r="AA6" s="19">
        <f>SUM($D5:AA5)</f>
        <v>919382407.45040894</v>
      </c>
    </row>
    <row r="7" spans="1:30" x14ac:dyDescent="0.2">
      <c r="B7" t="s">
        <v>131</v>
      </c>
      <c r="D7" s="19">
        <f t="shared" ref="D7:AA7" si="0">MAX(0,$C4-D6)</f>
        <v>850000000</v>
      </c>
      <c r="E7" s="19">
        <f t="shared" si="0"/>
        <v>799875000</v>
      </c>
      <c r="F7" s="19">
        <f t="shared" si="0"/>
        <v>749624687.5</v>
      </c>
      <c r="G7" s="19">
        <f t="shared" si="0"/>
        <v>699248749.21875</v>
      </c>
      <c r="H7" s="19">
        <f t="shared" si="0"/>
        <v>648746871.09179688</v>
      </c>
      <c r="I7" s="19">
        <f t="shared" si="0"/>
        <v>598118738.26952636</v>
      </c>
      <c r="J7" s="19">
        <f t="shared" si="0"/>
        <v>547364035.11520028</v>
      </c>
      <c r="K7" s="19">
        <f t="shared" si="0"/>
        <v>496482445.20298827</v>
      </c>
      <c r="L7" s="19">
        <f t="shared" si="0"/>
        <v>445473651.31599575</v>
      </c>
      <c r="M7" s="19">
        <f t="shared" si="0"/>
        <v>394337335.44428575</v>
      </c>
      <c r="N7" s="19">
        <f t="shared" si="0"/>
        <v>343073178.78289652</v>
      </c>
      <c r="O7" s="19">
        <f t="shared" si="0"/>
        <v>291680861.72985375</v>
      </c>
      <c r="P7" s="19">
        <f t="shared" si="0"/>
        <v>240160063.8841784</v>
      </c>
      <c r="Q7" s="19">
        <f t="shared" si="0"/>
        <v>188510464.04388893</v>
      </c>
      <c r="R7" s="19">
        <f t="shared" si="0"/>
        <v>136731740.20399868</v>
      </c>
      <c r="S7" s="19">
        <f t="shared" si="0"/>
        <v>84823569.554508686</v>
      </c>
      <c r="T7" s="19">
        <f t="shared" si="0"/>
        <v>32785628.478394985</v>
      </c>
      <c r="U7" s="19">
        <f t="shared" si="0"/>
        <v>0</v>
      </c>
      <c r="V7" s="19">
        <f t="shared" si="0"/>
        <v>0</v>
      </c>
      <c r="W7" s="19">
        <f t="shared" si="0"/>
        <v>0</v>
      </c>
      <c r="X7" s="19">
        <f t="shared" si="0"/>
        <v>0</v>
      </c>
      <c r="Y7" s="19">
        <f t="shared" si="0"/>
        <v>0</v>
      </c>
      <c r="Z7" s="19">
        <f t="shared" si="0"/>
        <v>0</v>
      </c>
      <c r="AA7" s="19">
        <f t="shared" si="0"/>
        <v>0</v>
      </c>
    </row>
    <row r="8" spans="1:30" x14ac:dyDescent="0.2">
      <c r="B8" t="s">
        <v>132</v>
      </c>
      <c r="D8" s="18">
        <f t="shared" ref="D8:AA8" si="1">MIN(1,D6/($C4))</f>
        <v>5.5555555555555552E-2</v>
      </c>
      <c r="E8" s="18">
        <f t="shared" si="1"/>
        <v>0.11125</v>
      </c>
      <c r="F8" s="18">
        <f t="shared" si="1"/>
        <v>0.16708368055555556</v>
      </c>
      <c r="G8" s="18">
        <f t="shared" si="1"/>
        <v>0.2230569453125</v>
      </c>
      <c r="H8" s="18">
        <f t="shared" si="1"/>
        <v>0.27917014323133682</v>
      </c>
      <c r="I8" s="18">
        <f t="shared" si="1"/>
        <v>0.33542362414497073</v>
      </c>
      <c r="J8" s="18">
        <f t="shared" si="1"/>
        <v>0.39181773876088866</v>
      </c>
      <c r="K8" s="18">
        <f t="shared" si="1"/>
        <v>0.44835283866334635</v>
      </c>
      <c r="L8" s="18">
        <f t="shared" si="1"/>
        <v>0.50502927631556027</v>
      </c>
      <c r="M8" s="18">
        <f t="shared" si="1"/>
        <v>0.56184740506190467</v>
      </c>
      <c r="N8" s="18">
        <f t="shared" si="1"/>
        <v>0.61880757913011497</v>
      </c>
      <c r="O8" s="18">
        <f t="shared" si="1"/>
        <v>0.67591015363349582</v>
      </c>
      <c r="P8" s="18">
        <f t="shared" si="1"/>
        <v>0.73315548457313506</v>
      </c>
      <c r="Q8" s="18">
        <f t="shared" si="1"/>
        <v>0.79054392884012337</v>
      </c>
      <c r="R8" s="18">
        <f t="shared" si="1"/>
        <v>0.84807584421777926</v>
      </c>
      <c r="S8" s="18">
        <f t="shared" si="1"/>
        <v>0.90575158938387923</v>
      </c>
      <c r="T8" s="18">
        <f t="shared" si="1"/>
        <v>0.96357152391289447</v>
      </c>
      <c r="U8" s="18">
        <f t="shared" si="1"/>
        <v>1</v>
      </c>
      <c r="V8" s="18">
        <f t="shared" si="1"/>
        <v>1</v>
      </c>
      <c r="W8" s="18">
        <f t="shared" si="1"/>
        <v>1</v>
      </c>
      <c r="X8" s="18">
        <f t="shared" si="1"/>
        <v>1</v>
      </c>
      <c r="Y8" s="18">
        <f t="shared" si="1"/>
        <v>1</v>
      </c>
      <c r="Z8" s="18">
        <f t="shared" si="1"/>
        <v>1</v>
      </c>
      <c r="AA8" s="18">
        <f t="shared" si="1"/>
        <v>1</v>
      </c>
    </row>
    <row r="9" spans="1:30" x14ac:dyDescent="0.2">
      <c r="B9" t="s">
        <v>133</v>
      </c>
      <c r="D9" s="18">
        <f t="shared" ref="D9:AA9" si="2">MIN(0.9,D8)</f>
        <v>5.5555555555555552E-2</v>
      </c>
      <c r="E9" s="18">
        <f t="shared" si="2"/>
        <v>0.11125</v>
      </c>
      <c r="F9" s="18">
        <f t="shared" si="2"/>
        <v>0.16708368055555556</v>
      </c>
      <c r="G9" s="18">
        <f t="shared" si="2"/>
        <v>0.2230569453125</v>
      </c>
      <c r="H9" s="18">
        <f t="shared" si="2"/>
        <v>0.27917014323133682</v>
      </c>
      <c r="I9" s="18">
        <f t="shared" si="2"/>
        <v>0.33542362414497073</v>
      </c>
      <c r="J9" s="18">
        <f t="shared" si="2"/>
        <v>0.39181773876088866</v>
      </c>
      <c r="K9" s="18">
        <f t="shared" si="2"/>
        <v>0.44835283866334635</v>
      </c>
      <c r="L9" s="18">
        <f t="shared" si="2"/>
        <v>0.50502927631556027</v>
      </c>
      <c r="M9" s="18">
        <f t="shared" si="2"/>
        <v>0.56184740506190467</v>
      </c>
      <c r="N9" s="18">
        <f t="shared" si="2"/>
        <v>0.61880757913011497</v>
      </c>
      <c r="O9" s="18">
        <f t="shared" si="2"/>
        <v>0.67591015363349582</v>
      </c>
      <c r="P9" s="18">
        <f t="shared" si="2"/>
        <v>0.73315548457313506</v>
      </c>
      <c r="Q9" s="18">
        <f t="shared" si="2"/>
        <v>0.79054392884012337</v>
      </c>
      <c r="R9" s="18">
        <f t="shared" si="2"/>
        <v>0.84807584421777926</v>
      </c>
      <c r="S9" s="18">
        <f t="shared" si="2"/>
        <v>0.9</v>
      </c>
      <c r="T9" s="18">
        <f t="shared" si="2"/>
        <v>0.9</v>
      </c>
      <c r="U9" s="18">
        <f t="shared" si="2"/>
        <v>0.9</v>
      </c>
      <c r="V9" s="18">
        <f t="shared" si="2"/>
        <v>0.9</v>
      </c>
      <c r="W9" s="18">
        <f t="shared" si="2"/>
        <v>0.9</v>
      </c>
      <c r="X9" s="18">
        <f t="shared" si="2"/>
        <v>0.9</v>
      </c>
      <c r="Y9" s="18">
        <f t="shared" si="2"/>
        <v>0.9</v>
      </c>
      <c r="Z9" s="18">
        <f t="shared" si="2"/>
        <v>0.9</v>
      </c>
      <c r="AA9" s="18">
        <f t="shared" si="2"/>
        <v>0.9</v>
      </c>
    </row>
    <row r="10" spans="1:30" x14ac:dyDescent="0.2">
      <c r="A10" s="30" t="s">
        <v>97</v>
      </c>
      <c r="B10" s="30" t="s">
        <v>128</v>
      </c>
      <c r="C10" s="38">
        <f>'Project Database'!$F$5</f>
        <v>650000000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30" x14ac:dyDescent="0.2">
      <c r="B11" t="s">
        <v>129</v>
      </c>
      <c r="D11" s="19">
        <f>IF(AND(D$3&gt;='Project Database'!$D$5,D$3&lt;=EDATE('Project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Database'!$D$5,D$3,"m"),0)</f>
        <v>0</v>
      </c>
      <c r="E11" s="19">
        <f>IF(AND(E$3&gt;='Project Database'!$D$5,E$3&lt;=EDATE('Project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Database'!$D$5,E$3,"m"),0)</f>
        <v>32500000</v>
      </c>
      <c r="F11" s="19">
        <f>IF(AND(F$3&gt;='Project Database'!$D$5,F$3&lt;=EDATE('Project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Database'!$D$5,F$3,"m"),0)</f>
        <v>32581250</v>
      </c>
      <c r="G11" s="19">
        <f>IF(AND(G$3&gt;='Project Database'!$D$5,G$3&lt;=EDATE('Project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Database'!$D$5,G$3,"m"),0)</f>
        <v>32662703.124999996</v>
      </c>
      <c r="H11" s="19">
        <f>IF(AND(H$3&gt;='Project Database'!$D$5,H$3&lt;=EDATE('Project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Database'!$D$5,H$3,"m"),0)</f>
        <v>32744359.882812493</v>
      </c>
      <c r="I11" s="19">
        <f>IF(AND(I$3&gt;='Project Database'!$D$5,I$3&lt;=EDATE('Project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Database'!$D$5,I$3,"m"),0)</f>
        <v>32826220.782519523</v>
      </c>
      <c r="J11" s="19">
        <f>IF(AND(J$3&gt;='Project Database'!$D$5,J$3&lt;=EDATE('Project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Database'!$D$5,J$3,"m"),0)</f>
        <v>32908286.334475826</v>
      </c>
      <c r="K11" s="19">
        <f>IF(AND(K$3&gt;='Project Database'!$D$5,K$3&lt;=EDATE('Project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Database'!$D$5,K$3,"m"),0)</f>
        <v>32990557.050312005</v>
      </c>
      <c r="L11" s="19">
        <f>IF(AND(L$3&gt;='Project Database'!$D$5,L$3&lt;=EDATE('Project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Database'!$D$5,L$3,"m"),0)</f>
        <v>33073033.442937784</v>
      </c>
      <c r="M11" s="19">
        <f>IF(AND(M$3&gt;='Project Database'!$D$5,M$3&lt;=EDATE('Project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Database'!$D$5,M$3,"m"),0)</f>
        <v>33155716.02654513</v>
      </c>
      <c r="N11" s="19">
        <f>IF(AND(N$3&gt;='Project Database'!$D$5,N$3&lt;=EDATE('Project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Database'!$D$5,N$3,"m"),0)</f>
        <v>33238605.316611495</v>
      </c>
      <c r="O11" s="19">
        <f>IF(AND(O$3&gt;='Project Database'!$D$5,O$3&lt;=EDATE('Project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Database'!$D$5,O$3,"m"),0)</f>
        <v>33321701.829903018</v>
      </c>
      <c r="P11" s="19">
        <f>IF(AND(P$3&gt;='Project Database'!$D$5,P$3&lt;=EDATE('Project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Database'!$D$5,P$3,"m"),0)</f>
        <v>33405006.084477771</v>
      </c>
      <c r="Q11" s="19">
        <f>IF(AND(Q$3&gt;='Project Database'!$D$5,Q$3&lt;=EDATE('Project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Database'!$D$5,Q$3,"m"),0)</f>
        <v>33488518.59968897</v>
      </c>
      <c r="R11" s="19">
        <f>IF(AND(R$3&gt;='Project Database'!$D$5,R$3&lt;=EDATE('Project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Database'!$D$5,R$3,"m"),0)</f>
        <v>33572239.896188192</v>
      </c>
      <c r="S11" s="19">
        <f>IF(AND(S$3&gt;='Project Database'!$D$5,S$3&lt;=EDATE('Project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Database'!$D$5,S$3,"m"),0)</f>
        <v>33656170.495928653</v>
      </c>
      <c r="T11" s="19">
        <f>IF(AND(T$3&gt;='Project Database'!$D$5,T$3&lt;=EDATE('Project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Database'!$D$5,T$3,"m"),0)</f>
        <v>33740310.922168471</v>
      </c>
      <c r="U11" s="19">
        <f>IF(AND(U$3&gt;='Project Database'!$D$5,U$3&lt;=EDATE('Project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Database'!$D$5,U$3,"m"),0)</f>
        <v>33824661.699473903</v>
      </c>
      <c r="V11" s="19">
        <f>IF(AND(V$3&gt;='Project Database'!$D$5,V$3&lt;=EDATE('Project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Database'!$D$5,V$3,"m"),0)</f>
        <v>33909223.35372258</v>
      </c>
      <c r="W11" s="19">
        <f>IF(AND(W$3&gt;='Project Database'!$D$5,W$3&lt;=EDATE('Project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Database'!$D$5,W$3,"m"),0)</f>
        <v>33993996.412106887</v>
      </c>
      <c r="X11" s="19">
        <f>IF(AND(X$3&gt;='Project Database'!$D$5,X$3&lt;=EDATE('Project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Database'!$D$5,X$3,"m"),0)</f>
        <v>34078981.403137147</v>
      </c>
      <c r="Y11" s="19">
        <f>IF(AND(Y$3&gt;='Project Database'!$D$5,Y$3&lt;=EDATE('Project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Database'!$D$5,Y$3,"m"),0)</f>
        <v>0</v>
      </c>
      <c r="Z11" s="19">
        <f>IF(AND(Z$3&gt;='Project Database'!$D$5,Z$3&lt;=EDATE('Project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Database'!$D$5,Z$3,"m"),0)</f>
        <v>0</v>
      </c>
      <c r="AA11" s="19">
        <f>IF(AND(AA$3&gt;='Project Database'!$D$5,AA$3&lt;=EDATE('Project Database'!$E$5,ROUND('Scenario Toggle'!$E$12,0))),('Project Database'!$F$5*(1+'Scenario Toggle'!$E$11))/MAX(1,DATEDIF('Project Database'!$D$5,EDATE('Project Database'!$E$5,ROUND('Scenario Toggle'!$E$12,0)),"m")+1)*(1+Assumptions!$E$6/12)^DATEDIF('Project Database'!$D$5,AA$3,"m"),0)</f>
        <v>0</v>
      </c>
    </row>
    <row r="12" spans="1:30" x14ac:dyDescent="0.2">
      <c r="B12" t="s">
        <v>130</v>
      </c>
      <c r="D12" s="19">
        <f>SUM($D11:D11)</f>
        <v>0</v>
      </c>
      <c r="E12" s="19">
        <f>SUM($D11:E11)</f>
        <v>32500000</v>
      </c>
      <c r="F12" s="19">
        <f>SUM($D11:F11)</f>
        <v>65081250</v>
      </c>
      <c r="G12" s="19">
        <f>SUM($D11:G11)</f>
        <v>97743953.125</v>
      </c>
      <c r="H12" s="19">
        <f>SUM($D11:H11)</f>
        <v>130488313.0078125</v>
      </c>
      <c r="I12" s="19">
        <f>SUM($D11:I11)</f>
        <v>163314533.79033202</v>
      </c>
      <c r="J12" s="19">
        <f>SUM($D11:J11)</f>
        <v>196222820.12480783</v>
      </c>
      <c r="K12" s="19">
        <f>SUM($D11:K11)</f>
        <v>229213377.17511985</v>
      </c>
      <c r="L12" s="19">
        <f>SUM($D11:L11)</f>
        <v>262286410.61805764</v>
      </c>
      <c r="M12" s="19">
        <f>SUM($D11:M11)</f>
        <v>295442126.64460278</v>
      </c>
      <c r="N12" s="19">
        <f>SUM($D11:N11)</f>
        <v>328680731.96121424</v>
      </c>
      <c r="O12" s="19">
        <f>SUM($D11:O11)</f>
        <v>362002433.79111725</v>
      </c>
      <c r="P12" s="19">
        <f>SUM($D11:P11)</f>
        <v>395407439.87559503</v>
      </c>
      <c r="Q12" s="19">
        <f>SUM($D11:Q11)</f>
        <v>428895958.47528398</v>
      </c>
      <c r="R12" s="19">
        <f>SUM($D11:R11)</f>
        <v>462468198.37147218</v>
      </c>
      <c r="S12" s="19">
        <f>SUM($D11:S11)</f>
        <v>496124368.86740083</v>
      </c>
      <c r="T12" s="19">
        <f>SUM($D11:T11)</f>
        <v>529864679.78956932</v>
      </c>
      <c r="U12" s="19">
        <f>SUM($D11:U11)</f>
        <v>563689341.48904324</v>
      </c>
      <c r="V12" s="19">
        <f>SUM($D11:V11)</f>
        <v>597598564.84276581</v>
      </c>
      <c r="W12" s="19">
        <f>SUM($D11:W11)</f>
        <v>631592561.25487268</v>
      </c>
      <c r="X12" s="19">
        <f>SUM($D11:X11)</f>
        <v>665671542.65800977</v>
      </c>
      <c r="Y12" s="19">
        <f>SUM($D11:Y11)</f>
        <v>665671542.65800977</v>
      </c>
      <c r="Z12" s="19">
        <f>SUM($D11:Z11)</f>
        <v>665671542.65800977</v>
      </c>
      <c r="AA12" s="19">
        <f>SUM($D11:AA11)</f>
        <v>665671542.65800977</v>
      </c>
    </row>
    <row r="13" spans="1:30" x14ac:dyDescent="0.2">
      <c r="B13" t="s">
        <v>131</v>
      </c>
      <c r="D13" s="19">
        <f t="shared" ref="D13:AA13" si="3">MAX(0,$C10-D12)</f>
        <v>650000000</v>
      </c>
      <c r="E13" s="19">
        <f t="shared" si="3"/>
        <v>617500000</v>
      </c>
      <c r="F13" s="19">
        <f t="shared" si="3"/>
        <v>584918750</v>
      </c>
      <c r="G13" s="19">
        <f t="shared" si="3"/>
        <v>552256046.875</v>
      </c>
      <c r="H13" s="19">
        <f t="shared" si="3"/>
        <v>519511686.9921875</v>
      </c>
      <c r="I13" s="19">
        <f t="shared" si="3"/>
        <v>486685466.20966798</v>
      </c>
      <c r="J13" s="19">
        <f t="shared" si="3"/>
        <v>453777179.87519217</v>
      </c>
      <c r="K13" s="19">
        <f t="shared" si="3"/>
        <v>420786622.82488012</v>
      </c>
      <c r="L13" s="19">
        <f t="shared" si="3"/>
        <v>387713589.38194239</v>
      </c>
      <c r="M13" s="19">
        <f t="shared" si="3"/>
        <v>354557873.35539722</v>
      </c>
      <c r="N13" s="19">
        <f t="shared" si="3"/>
        <v>321319268.03878576</v>
      </c>
      <c r="O13" s="19">
        <f t="shared" si="3"/>
        <v>287997566.20888275</v>
      </c>
      <c r="P13" s="19">
        <f t="shared" si="3"/>
        <v>254592560.12440497</v>
      </c>
      <c r="Q13" s="19">
        <f t="shared" si="3"/>
        <v>221104041.52471602</v>
      </c>
      <c r="R13" s="19">
        <f t="shared" si="3"/>
        <v>187531801.62852782</v>
      </c>
      <c r="S13" s="19">
        <f t="shared" si="3"/>
        <v>153875631.13259917</v>
      </c>
      <c r="T13" s="19">
        <f t="shared" si="3"/>
        <v>120135320.21043068</v>
      </c>
      <c r="U13" s="19">
        <f t="shared" si="3"/>
        <v>86310658.510956764</v>
      </c>
      <c r="V13" s="19">
        <f t="shared" si="3"/>
        <v>52401435.157234192</v>
      </c>
      <c r="W13" s="19">
        <f t="shared" si="3"/>
        <v>18407438.74512732</v>
      </c>
      <c r="X13" s="19">
        <f t="shared" si="3"/>
        <v>0</v>
      </c>
      <c r="Y13" s="19">
        <f t="shared" si="3"/>
        <v>0</v>
      </c>
      <c r="Z13" s="19">
        <f t="shared" si="3"/>
        <v>0</v>
      </c>
      <c r="AA13" s="19">
        <f t="shared" si="3"/>
        <v>0</v>
      </c>
    </row>
    <row r="14" spans="1:30" x14ac:dyDescent="0.2">
      <c r="B14" t="s">
        <v>132</v>
      </c>
      <c r="D14" s="18">
        <f t="shared" ref="D14:AA14" si="4">MIN(1,D12/($C10))</f>
        <v>0</v>
      </c>
      <c r="E14" s="18">
        <f t="shared" si="4"/>
        <v>0.05</v>
      </c>
      <c r="F14" s="18">
        <f t="shared" si="4"/>
        <v>0.10012500000000001</v>
      </c>
      <c r="G14" s="18">
        <f t="shared" si="4"/>
        <v>0.1503753125</v>
      </c>
      <c r="H14" s="18">
        <f t="shared" si="4"/>
        <v>0.20075125078125</v>
      </c>
      <c r="I14" s="18">
        <f t="shared" si="4"/>
        <v>0.25125312890820312</v>
      </c>
      <c r="J14" s="18">
        <f t="shared" si="4"/>
        <v>0.30188126173047358</v>
      </c>
      <c r="K14" s="18">
        <f t="shared" si="4"/>
        <v>0.35263596488479976</v>
      </c>
      <c r="L14" s="18">
        <f t="shared" si="4"/>
        <v>0.40351755479701173</v>
      </c>
      <c r="M14" s="18">
        <f t="shared" si="4"/>
        <v>0.45452634868400427</v>
      </c>
      <c r="N14" s="18">
        <f t="shared" si="4"/>
        <v>0.50566266455571418</v>
      </c>
      <c r="O14" s="18">
        <f t="shared" si="4"/>
        <v>0.55692682121710346</v>
      </c>
      <c r="P14" s="18">
        <f t="shared" si="4"/>
        <v>0.60831913827014616</v>
      </c>
      <c r="Q14" s="18">
        <f t="shared" si="4"/>
        <v>0.65983993611582148</v>
      </c>
      <c r="R14" s="18">
        <f t="shared" si="4"/>
        <v>0.71148953595611109</v>
      </c>
      <c r="S14" s="18">
        <f t="shared" si="4"/>
        <v>0.76326825979600121</v>
      </c>
      <c r="T14" s="18">
        <f t="shared" si="4"/>
        <v>0.81517643044549126</v>
      </c>
      <c r="U14" s="18">
        <f t="shared" si="4"/>
        <v>0.86721437152160497</v>
      </c>
      <c r="V14" s="18">
        <f t="shared" si="4"/>
        <v>0.91938240745040889</v>
      </c>
      <c r="W14" s="18">
        <f t="shared" si="4"/>
        <v>0.97168086346903493</v>
      </c>
      <c r="X14" s="18">
        <f t="shared" si="4"/>
        <v>1</v>
      </c>
      <c r="Y14" s="18">
        <f t="shared" si="4"/>
        <v>1</v>
      </c>
      <c r="Z14" s="18">
        <f t="shared" si="4"/>
        <v>1</v>
      </c>
      <c r="AA14" s="18">
        <f t="shared" si="4"/>
        <v>1</v>
      </c>
    </row>
    <row r="15" spans="1:30" x14ac:dyDescent="0.2">
      <c r="B15" t="s">
        <v>133</v>
      </c>
      <c r="D15" s="18">
        <f t="shared" ref="D15:AA15" si="5">MIN(0.9,D14)</f>
        <v>0</v>
      </c>
      <c r="E15" s="18">
        <f t="shared" si="5"/>
        <v>0.05</v>
      </c>
      <c r="F15" s="18">
        <f t="shared" si="5"/>
        <v>0.10012500000000001</v>
      </c>
      <c r="G15" s="18">
        <f t="shared" si="5"/>
        <v>0.1503753125</v>
      </c>
      <c r="H15" s="18">
        <f t="shared" si="5"/>
        <v>0.20075125078125</v>
      </c>
      <c r="I15" s="18">
        <f t="shared" si="5"/>
        <v>0.25125312890820312</v>
      </c>
      <c r="J15" s="18">
        <f t="shared" si="5"/>
        <v>0.30188126173047358</v>
      </c>
      <c r="K15" s="18">
        <f t="shared" si="5"/>
        <v>0.35263596488479976</v>
      </c>
      <c r="L15" s="18">
        <f t="shared" si="5"/>
        <v>0.40351755479701173</v>
      </c>
      <c r="M15" s="18">
        <f t="shared" si="5"/>
        <v>0.45452634868400427</v>
      </c>
      <c r="N15" s="18">
        <f t="shared" si="5"/>
        <v>0.50566266455571418</v>
      </c>
      <c r="O15" s="18">
        <f t="shared" si="5"/>
        <v>0.55692682121710346</v>
      </c>
      <c r="P15" s="18">
        <f t="shared" si="5"/>
        <v>0.60831913827014616</v>
      </c>
      <c r="Q15" s="18">
        <f t="shared" si="5"/>
        <v>0.65983993611582148</v>
      </c>
      <c r="R15" s="18">
        <f t="shared" si="5"/>
        <v>0.71148953595611109</v>
      </c>
      <c r="S15" s="18">
        <f t="shared" si="5"/>
        <v>0.76326825979600121</v>
      </c>
      <c r="T15" s="18">
        <f t="shared" si="5"/>
        <v>0.81517643044549126</v>
      </c>
      <c r="U15" s="18">
        <f t="shared" si="5"/>
        <v>0.86721437152160497</v>
      </c>
      <c r="V15" s="18">
        <f t="shared" si="5"/>
        <v>0.9</v>
      </c>
      <c r="W15" s="18">
        <f t="shared" si="5"/>
        <v>0.9</v>
      </c>
      <c r="X15" s="18">
        <f t="shared" si="5"/>
        <v>0.9</v>
      </c>
      <c r="Y15" s="18">
        <f t="shared" si="5"/>
        <v>0.9</v>
      </c>
      <c r="Z15" s="18">
        <f t="shared" si="5"/>
        <v>0.9</v>
      </c>
      <c r="AA15" s="18">
        <f t="shared" si="5"/>
        <v>0.9</v>
      </c>
    </row>
    <row r="16" spans="1:30" x14ac:dyDescent="0.2">
      <c r="A16" s="30" t="s">
        <v>99</v>
      </c>
      <c r="B16" s="30" t="s">
        <v>128</v>
      </c>
      <c r="C16" s="38">
        <f>'Project Database'!$F$6</f>
        <v>1100000000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x14ac:dyDescent="0.2">
      <c r="B17" t="s">
        <v>129</v>
      </c>
      <c r="D17" s="19">
        <f>IF(AND(D$3&gt;='Project Database'!$D$6,D$3&lt;=EDATE('Project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Database'!$D$6,D$3,"m"),0)</f>
        <v>0</v>
      </c>
      <c r="E17" s="19">
        <f>IF(AND(E$3&gt;='Project Database'!$D$6,E$3&lt;=EDATE('Project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Database'!$D$6,E$3,"m"),0)</f>
        <v>0</v>
      </c>
      <c r="F17" s="19">
        <f>IF(AND(F$3&gt;='Project Database'!$D$6,F$3&lt;=EDATE('Project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Database'!$D$6,F$3,"m"),0)</f>
        <v>0</v>
      </c>
      <c r="G17" s="19">
        <f>IF(AND(G$3&gt;='Project Database'!$D$6,G$3&lt;=EDATE('Project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Database'!$D$6,G$3,"m"),0)</f>
        <v>52380952.380952381</v>
      </c>
      <c r="H17" s="19">
        <f>IF(AND(H$3&gt;='Project Database'!$D$6,H$3&lt;=EDATE('Project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Database'!$D$6,H$3,"m"),0)</f>
        <v>52511904.761904761</v>
      </c>
      <c r="I17" s="19">
        <f>IF(AND(I$3&gt;='Project Database'!$D$6,I$3&lt;=EDATE('Project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Database'!$D$6,I$3,"m"),0)</f>
        <v>52643184.523809515</v>
      </c>
      <c r="J17" s="19">
        <f>IF(AND(J$3&gt;='Project Database'!$D$6,J$3&lt;=EDATE('Project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Database'!$D$6,J$3,"m"),0)</f>
        <v>52774792.485119037</v>
      </c>
      <c r="K17" s="19">
        <f>IF(AND(K$3&gt;='Project Database'!$D$6,K$3&lt;=EDATE('Project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Database'!$D$6,K$3,"m"),0)</f>
        <v>52906729.466331832</v>
      </c>
      <c r="L17" s="19">
        <f>IF(AND(L$3&gt;='Project Database'!$D$6,L$3&lt;=EDATE('Project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Database'!$D$6,L$3,"m"),0)</f>
        <v>53038996.289997667</v>
      </c>
      <c r="M17" s="19">
        <f>IF(AND(M$3&gt;='Project Database'!$D$6,M$3&lt;=EDATE('Project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Database'!$D$6,M$3,"m"),0)</f>
        <v>53171593.780722648</v>
      </c>
      <c r="N17" s="19">
        <f>IF(AND(N$3&gt;='Project Database'!$D$6,N$3&lt;=EDATE('Project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Database'!$D$6,N$3,"m"),0)</f>
        <v>53304522.765174456</v>
      </c>
      <c r="O17" s="19">
        <f>IF(AND(O$3&gt;='Project Database'!$D$6,O$3&lt;=EDATE('Project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Database'!$D$6,O$3,"m"),0)</f>
        <v>53437784.072087392</v>
      </c>
      <c r="P17" s="19">
        <f>IF(AND(P$3&gt;='Project Database'!$D$6,P$3&lt;=EDATE('Project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Database'!$D$6,P$3,"m"),0)</f>
        <v>53571378.532267608</v>
      </c>
      <c r="Q17" s="19">
        <f>IF(AND(Q$3&gt;='Project Database'!$D$6,Q$3&lt;=EDATE('Project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Database'!$D$6,Q$3,"m"),0)</f>
        <v>53705306.978598274</v>
      </c>
      <c r="R17" s="19">
        <f>IF(AND(R$3&gt;='Project Database'!$D$6,R$3&lt;=EDATE('Project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Database'!$D$6,R$3,"m"),0)</f>
        <v>53839570.246044755</v>
      </c>
      <c r="S17" s="19">
        <f>IF(AND(S$3&gt;='Project Database'!$D$6,S$3&lt;=EDATE('Project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Database'!$D$6,S$3,"m"),0)</f>
        <v>53974169.171659879</v>
      </c>
      <c r="T17" s="19">
        <f>IF(AND(T$3&gt;='Project Database'!$D$6,T$3&lt;=EDATE('Project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Database'!$D$6,T$3,"m"),0)</f>
        <v>54109104.594589032</v>
      </c>
      <c r="U17" s="19">
        <f>IF(AND(U$3&gt;='Project Database'!$D$6,U$3&lt;=EDATE('Project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Database'!$D$6,U$3,"m"),0)</f>
        <v>54244377.356075488</v>
      </c>
      <c r="V17" s="19">
        <f>IF(AND(V$3&gt;='Project Database'!$D$6,V$3&lt;=EDATE('Project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Database'!$D$6,V$3,"m"),0)</f>
        <v>54379988.299465671</v>
      </c>
      <c r="W17" s="19">
        <f>IF(AND(W$3&gt;='Project Database'!$D$6,W$3&lt;=EDATE('Project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Database'!$D$6,W$3,"m"),0)</f>
        <v>54515938.270214342</v>
      </c>
      <c r="X17" s="19">
        <f>IF(AND(X$3&gt;='Project Database'!$D$6,X$3&lt;=EDATE('Project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Database'!$D$6,X$3,"m"),0)</f>
        <v>54652228.11588987</v>
      </c>
      <c r="Y17" s="19">
        <f>IF(AND(Y$3&gt;='Project Database'!$D$6,Y$3&lt;=EDATE('Project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Database'!$D$6,Y$3,"m"),0)</f>
        <v>54788858.686179601</v>
      </c>
      <c r="Z17" s="19">
        <f>IF(AND(Z$3&gt;='Project Database'!$D$6,Z$3&lt;=EDATE('Project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Database'!$D$6,Z$3,"m"),0)</f>
        <v>54925830.832895041</v>
      </c>
      <c r="AA17" s="19">
        <f>IF(AND(AA$3&gt;='Project Database'!$D$6,AA$3&lt;=EDATE('Project Database'!$E$6,ROUND('Scenario Toggle'!$E$12,0))),('Project Database'!$F$6*(1+'Scenario Toggle'!$E$11))/MAX(1,DATEDIF('Project Database'!$D$6,EDATE('Project Database'!$E$6,ROUND('Scenario Toggle'!$E$12,0)),"m")+1)*(1+Assumptions!$E$6/12)^DATEDIF('Project Database'!$D$6,AA$3,"m"),0)</f>
        <v>55063145.409977287</v>
      </c>
    </row>
    <row r="18" spans="1:27" x14ac:dyDescent="0.2">
      <c r="B18" t="s">
        <v>130</v>
      </c>
      <c r="D18" s="19">
        <f>SUM($D17:D17)</f>
        <v>0</v>
      </c>
      <c r="E18" s="19">
        <f>SUM($D17:E17)</f>
        <v>0</v>
      </c>
      <c r="F18" s="19">
        <f>SUM($D17:F17)</f>
        <v>0</v>
      </c>
      <c r="G18" s="19">
        <f>SUM($D17:G17)</f>
        <v>52380952.380952381</v>
      </c>
      <c r="H18" s="19">
        <f>SUM($D17:H17)</f>
        <v>104892857.14285713</v>
      </c>
      <c r="I18" s="19">
        <f>SUM($D17:I17)</f>
        <v>157536041.66666666</v>
      </c>
      <c r="J18" s="19">
        <f>SUM($D17:J17)</f>
        <v>210310834.1517857</v>
      </c>
      <c r="K18" s="19">
        <f>SUM($D17:K17)</f>
        <v>263217563.61811754</v>
      </c>
      <c r="L18" s="19">
        <f>SUM($D17:L17)</f>
        <v>316256559.90811521</v>
      </c>
      <c r="M18" s="19">
        <f>SUM($D17:M17)</f>
        <v>369428153.68883789</v>
      </c>
      <c r="N18" s="19">
        <f>SUM($D17:N17)</f>
        <v>422732676.45401233</v>
      </c>
      <c r="O18" s="19">
        <f>SUM($D17:O17)</f>
        <v>476170460.52609974</v>
      </c>
      <c r="P18" s="19">
        <f>SUM($D17:P17)</f>
        <v>529741839.05836737</v>
      </c>
      <c r="Q18" s="19">
        <f>SUM($D17:Q17)</f>
        <v>583447146.03696561</v>
      </c>
      <c r="R18" s="19">
        <f>SUM($D17:R17)</f>
        <v>637286716.28301036</v>
      </c>
      <c r="S18" s="19">
        <f>SUM($D17:S17)</f>
        <v>691260885.45467019</v>
      </c>
      <c r="T18" s="19">
        <f>SUM($D17:T17)</f>
        <v>745369990.04925919</v>
      </c>
      <c r="U18" s="19">
        <f>SUM($D17:U17)</f>
        <v>799614367.40533471</v>
      </c>
      <c r="V18" s="19">
        <f>SUM($D17:V17)</f>
        <v>853994355.70480037</v>
      </c>
      <c r="W18" s="19">
        <f>SUM($D17:W17)</f>
        <v>908510293.97501469</v>
      </c>
      <c r="X18" s="19">
        <f>SUM($D17:X17)</f>
        <v>963162522.09090459</v>
      </c>
      <c r="Y18" s="19">
        <f>SUM($D17:Y17)</f>
        <v>1017951380.7770842</v>
      </c>
      <c r="Z18" s="19">
        <f>SUM($D17:Z17)</f>
        <v>1072877211.6099793</v>
      </c>
      <c r="AA18" s="19">
        <f>SUM($D17:AA17)</f>
        <v>1127940357.0199566</v>
      </c>
    </row>
    <row r="19" spans="1:27" x14ac:dyDescent="0.2">
      <c r="B19" t="s">
        <v>131</v>
      </c>
      <c r="D19" s="19">
        <f t="shared" ref="D19:AA19" si="6">MAX(0,$C16-D18)</f>
        <v>1100000000</v>
      </c>
      <c r="E19" s="19">
        <f t="shared" si="6"/>
        <v>1100000000</v>
      </c>
      <c r="F19" s="19">
        <f t="shared" si="6"/>
        <v>1100000000</v>
      </c>
      <c r="G19" s="19">
        <f t="shared" si="6"/>
        <v>1047619047.6190476</v>
      </c>
      <c r="H19" s="19">
        <f t="shared" si="6"/>
        <v>995107142.85714293</v>
      </c>
      <c r="I19" s="19">
        <f t="shared" si="6"/>
        <v>942463958.33333337</v>
      </c>
      <c r="J19" s="19">
        <f t="shared" si="6"/>
        <v>889689165.84821427</v>
      </c>
      <c r="K19" s="19">
        <f t="shared" si="6"/>
        <v>836782436.38188243</v>
      </c>
      <c r="L19" s="19">
        <f t="shared" si="6"/>
        <v>783743440.09188485</v>
      </c>
      <c r="M19" s="19">
        <f t="shared" si="6"/>
        <v>730571846.31116211</v>
      </c>
      <c r="N19" s="19">
        <f t="shared" si="6"/>
        <v>677267323.54598761</v>
      </c>
      <c r="O19" s="19">
        <f t="shared" si="6"/>
        <v>623829539.47390032</v>
      </c>
      <c r="P19" s="19">
        <f t="shared" si="6"/>
        <v>570258160.94163263</v>
      </c>
      <c r="Q19" s="19">
        <f t="shared" si="6"/>
        <v>516552853.96303439</v>
      </c>
      <c r="R19" s="19">
        <f t="shared" si="6"/>
        <v>462713283.71698964</v>
      </c>
      <c r="S19" s="19">
        <f t="shared" si="6"/>
        <v>408739114.54532981</v>
      </c>
      <c r="T19" s="19">
        <f t="shared" si="6"/>
        <v>354630009.95074081</v>
      </c>
      <c r="U19" s="19">
        <f t="shared" si="6"/>
        <v>300385632.59466529</v>
      </c>
      <c r="V19" s="19">
        <f t="shared" si="6"/>
        <v>246005644.29519963</v>
      </c>
      <c r="W19" s="19">
        <f t="shared" si="6"/>
        <v>191489706.02498531</v>
      </c>
      <c r="X19" s="19">
        <f t="shared" si="6"/>
        <v>136837477.90909541</v>
      </c>
      <c r="Y19" s="19">
        <f t="shared" si="6"/>
        <v>82048619.222915769</v>
      </c>
      <c r="Z19" s="19">
        <f t="shared" si="6"/>
        <v>27122788.390020728</v>
      </c>
      <c r="AA19" s="19">
        <f t="shared" si="6"/>
        <v>0</v>
      </c>
    </row>
    <row r="20" spans="1:27" x14ac:dyDescent="0.2">
      <c r="B20" t="s">
        <v>132</v>
      </c>
      <c r="D20" s="18">
        <f t="shared" ref="D20:AA20" si="7">MIN(1,D18/($C16))</f>
        <v>0</v>
      </c>
      <c r="E20" s="18">
        <f t="shared" si="7"/>
        <v>0</v>
      </c>
      <c r="F20" s="18">
        <f t="shared" si="7"/>
        <v>0</v>
      </c>
      <c r="G20" s="18">
        <f t="shared" si="7"/>
        <v>4.7619047619047616E-2</v>
      </c>
      <c r="H20" s="18">
        <f t="shared" si="7"/>
        <v>9.5357142857142849E-2</v>
      </c>
      <c r="I20" s="18">
        <f t="shared" si="7"/>
        <v>0.14321458333333331</v>
      </c>
      <c r="J20" s="18">
        <f t="shared" si="7"/>
        <v>0.19119166741071428</v>
      </c>
      <c r="K20" s="18">
        <f t="shared" si="7"/>
        <v>0.23928869419828869</v>
      </c>
      <c r="L20" s="18">
        <f t="shared" si="7"/>
        <v>0.28750596355283203</v>
      </c>
      <c r="M20" s="18">
        <f t="shared" si="7"/>
        <v>0.33584377608076171</v>
      </c>
      <c r="N20" s="18">
        <f t="shared" si="7"/>
        <v>0.38430243314001122</v>
      </c>
      <c r="O20" s="18">
        <f t="shared" si="7"/>
        <v>0.43288223684190885</v>
      </c>
      <c r="P20" s="18">
        <f t="shared" si="7"/>
        <v>0.48158349005306123</v>
      </c>
      <c r="Q20" s="18">
        <f t="shared" si="7"/>
        <v>0.53040649639724147</v>
      </c>
      <c r="R20" s="18">
        <f t="shared" si="7"/>
        <v>0.57935156025728218</v>
      </c>
      <c r="S20" s="18">
        <f t="shared" si="7"/>
        <v>0.62841898677697294</v>
      </c>
      <c r="T20" s="18">
        <f t="shared" si="7"/>
        <v>0.67760908186296287</v>
      </c>
      <c r="U20" s="18">
        <f t="shared" si="7"/>
        <v>0.72692215218666789</v>
      </c>
      <c r="V20" s="18">
        <f t="shared" si="7"/>
        <v>0.7763585051861821</v>
      </c>
      <c r="W20" s="18">
        <f t="shared" si="7"/>
        <v>0.82591844906819512</v>
      </c>
      <c r="X20" s="18">
        <f t="shared" si="7"/>
        <v>0.87560229280991331</v>
      </c>
      <c r="Y20" s="18">
        <f t="shared" si="7"/>
        <v>0.92541034616098572</v>
      </c>
      <c r="Z20" s="18">
        <f t="shared" si="7"/>
        <v>0.97534291964543574</v>
      </c>
      <c r="AA20" s="18">
        <f t="shared" si="7"/>
        <v>1</v>
      </c>
    </row>
    <row r="21" spans="1:27" x14ac:dyDescent="0.2">
      <c r="B21" t="s">
        <v>133</v>
      </c>
      <c r="D21" s="18">
        <f t="shared" ref="D21:AA21" si="8">MIN(0.9,D20)</f>
        <v>0</v>
      </c>
      <c r="E21" s="18">
        <f t="shared" si="8"/>
        <v>0</v>
      </c>
      <c r="F21" s="18">
        <f t="shared" si="8"/>
        <v>0</v>
      </c>
      <c r="G21" s="18">
        <f t="shared" si="8"/>
        <v>4.7619047619047616E-2</v>
      </c>
      <c r="H21" s="18">
        <f t="shared" si="8"/>
        <v>9.5357142857142849E-2</v>
      </c>
      <c r="I21" s="18">
        <f t="shared" si="8"/>
        <v>0.14321458333333331</v>
      </c>
      <c r="J21" s="18">
        <f t="shared" si="8"/>
        <v>0.19119166741071428</v>
      </c>
      <c r="K21" s="18">
        <f t="shared" si="8"/>
        <v>0.23928869419828869</v>
      </c>
      <c r="L21" s="18">
        <f t="shared" si="8"/>
        <v>0.28750596355283203</v>
      </c>
      <c r="M21" s="18">
        <f t="shared" si="8"/>
        <v>0.33584377608076171</v>
      </c>
      <c r="N21" s="18">
        <f t="shared" si="8"/>
        <v>0.38430243314001122</v>
      </c>
      <c r="O21" s="18">
        <f t="shared" si="8"/>
        <v>0.43288223684190885</v>
      </c>
      <c r="P21" s="18">
        <f t="shared" si="8"/>
        <v>0.48158349005306123</v>
      </c>
      <c r="Q21" s="18">
        <f t="shared" si="8"/>
        <v>0.53040649639724147</v>
      </c>
      <c r="R21" s="18">
        <f t="shared" si="8"/>
        <v>0.57935156025728218</v>
      </c>
      <c r="S21" s="18">
        <f t="shared" si="8"/>
        <v>0.62841898677697294</v>
      </c>
      <c r="T21" s="18">
        <f t="shared" si="8"/>
        <v>0.67760908186296287</v>
      </c>
      <c r="U21" s="18">
        <f t="shared" si="8"/>
        <v>0.72692215218666789</v>
      </c>
      <c r="V21" s="18">
        <f t="shared" si="8"/>
        <v>0.7763585051861821</v>
      </c>
      <c r="W21" s="18">
        <f t="shared" si="8"/>
        <v>0.82591844906819512</v>
      </c>
      <c r="X21" s="18">
        <f t="shared" si="8"/>
        <v>0.87560229280991331</v>
      </c>
      <c r="Y21" s="18">
        <f t="shared" si="8"/>
        <v>0.9</v>
      </c>
      <c r="Z21" s="18">
        <f t="shared" si="8"/>
        <v>0.9</v>
      </c>
      <c r="AA21" s="18">
        <f t="shared" si="8"/>
        <v>0.9</v>
      </c>
    </row>
    <row r="22" spans="1:27" x14ac:dyDescent="0.2">
      <c r="A22" s="30" t="s">
        <v>101</v>
      </c>
      <c r="B22" s="30" t="s">
        <v>128</v>
      </c>
      <c r="C22" s="38">
        <f>'Project Database'!$F$7</f>
        <v>850000000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2">
      <c r="B23" t="s">
        <v>129</v>
      </c>
      <c r="D23" s="19">
        <f>IF(AND(D$3&gt;='Project Database'!$D$7,D$3&lt;=EDATE('Project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Database'!$D$7,D$3,"m"),0)</f>
        <v>0</v>
      </c>
      <c r="E23" s="19">
        <f>IF(AND(E$3&gt;='Project Database'!$D$7,E$3&lt;=EDATE('Project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Database'!$D$7,E$3,"m"),0)</f>
        <v>0</v>
      </c>
      <c r="F23" s="19">
        <f>IF(AND(F$3&gt;='Project Database'!$D$7,F$3&lt;=EDATE('Project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Database'!$D$7,F$3,"m"),0)</f>
        <v>40476190.476190478</v>
      </c>
      <c r="G23" s="19">
        <f>IF(AND(G$3&gt;='Project Database'!$D$7,G$3&lt;=EDATE('Project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Database'!$D$7,G$3,"m"),0)</f>
        <v>40577380.952380955</v>
      </c>
      <c r="H23" s="19">
        <f>IF(AND(H$3&gt;='Project Database'!$D$7,H$3&lt;=EDATE('Project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Database'!$D$7,H$3,"m"),0)</f>
        <v>40678824.404761903</v>
      </c>
      <c r="I23" s="19">
        <f>IF(AND(I$3&gt;='Project Database'!$D$7,I$3&lt;=EDATE('Project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Database'!$D$7,I$3,"m"),0)</f>
        <v>40780521.465773799</v>
      </c>
      <c r="J23" s="19">
        <f>IF(AND(J$3&gt;='Project Database'!$D$7,J$3&lt;=EDATE('Project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Database'!$D$7,J$3,"m"),0)</f>
        <v>40882472.769438237</v>
      </c>
      <c r="K23" s="19">
        <f>IF(AND(K$3&gt;='Project Database'!$D$7,K$3&lt;=EDATE('Project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Database'!$D$7,K$3,"m"),0)</f>
        <v>40984678.951361835</v>
      </c>
      <c r="L23" s="19">
        <f>IF(AND(L$3&gt;='Project Database'!$D$7,L$3&lt;=EDATE('Project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Database'!$D$7,L$3,"m"),0)</f>
        <v>41087140.648740232</v>
      </c>
      <c r="M23" s="19">
        <f>IF(AND(M$3&gt;='Project Database'!$D$7,M$3&lt;=EDATE('Project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Database'!$D$7,M$3,"m"),0)</f>
        <v>41189858.500362076</v>
      </c>
      <c r="N23" s="19">
        <f>IF(AND(N$3&gt;='Project Database'!$D$7,N$3&lt;=EDATE('Project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Database'!$D$7,N$3,"m"),0)</f>
        <v>41292833.146612987</v>
      </c>
      <c r="O23" s="19">
        <f>IF(AND(O$3&gt;='Project Database'!$D$7,O$3&lt;=EDATE('Project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Database'!$D$7,O$3,"m"),0)</f>
        <v>41396065.229479522</v>
      </c>
      <c r="P23" s="19">
        <f>IF(AND(P$3&gt;='Project Database'!$D$7,P$3&lt;=EDATE('Project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Database'!$D$7,P$3,"m"),0)</f>
        <v>41499555.39255321</v>
      </c>
      <c r="Q23" s="19">
        <f>IF(AND(Q$3&gt;='Project Database'!$D$7,Q$3&lt;=EDATE('Project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Database'!$D$7,Q$3,"m"),0)</f>
        <v>41603304.281034589</v>
      </c>
      <c r="R23" s="19">
        <f>IF(AND(R$3&gt;='Project Database'!$D$7,R$3&lt;=EDATE('Project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Database'!$D$7,R$3,"m"),0)</f>
        <v>41707312.541737176</v>
      </c>
      <c r="S23" s="19">
        <f>IF(AND(S$3&gt;='Project Database'!$D$7,S$3&lt;=EDATE('Project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Database'!$D$7,S$3,"m"),0)</f>
        <v>41811580.823091522</v>
      </c>
      <c r="T23" s="19">
        <f>IF(AND(T$3&gt;='Project Database'!$D$7,T$3&lt;=EDATE('Project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Database'!$D$7,T$3,"m"),0)</f>
        <v>41916109.775149241</v>
      </c>
      <c r="U23" s="19">
        <f>IF(AND(U$3&gt;='Project Database'!$D$7,U$3&lt;=EDATE('Project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Database'!$D$7,U$3,"m"),0)</f>
        <v>42020900.049587108</v>
      </c>
      <c r="V23" s="19">
        <f>IF(AND(V$3&gt;='Project Database'!$D$7,V$3&lt;=EDATE('Project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Database'!$D$7,V$3,"m"),0)</f>
        <v>42125952.299711086</v>
      </c>
      <c r="W23" s="19">
        <f>IF(AND(W$3&gt;='Project Database'!$D$7,W$3&lt;=EDATE('Project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Database'!$D$7,W$3,"m"),0)</f>
        <v>42231267.180460356</v>
      </c>
      <c r="X23" s="19">
        <f>IF(AND(X$3&gt;='Project Database'!$D$7,X$3&lt;=EDATE('Project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Database'!$D$7,X$3,"m"),0)</f>
        <v>42336845.348411508</v>
      </c>
      <c r="Y23" s="19">
        <f>IF(AND(Y$3&gt;='Project Database'!$D$7,Y$3&lt;=EDATE('Project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Database'!$D$7,Y$3,"m"),0)</f>
        <v>42442687.46178253</v>
      </c>
      <c r="Z23" s="19">
        <f>IF(AND(Z$3&gt;='Project Database'!$D$7,Z$3&lt;=EDATE('Project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Database'!$D$7,Z$3,"m"),0)</f>
        <v>42548794.180436991</v>
      </c>
      <c r="AA23" s="19">
        <f>IF(AND(AA$3&gt;='Project Database'!$D$7,AA$3&lt;=EDATE('Project Database'!$E$7,ROUND('Scenario Toggle'!$E$12,0))),('Project Database'!$F$7*(1+'Scenario Toggle'!$E$11))/MAX(1,DATEDIF('Project Database'!$D$7,EDATE('Project Database'!$E$7,ROUND('Scenario Toggle'!$E$12,0)),"m")+1)*(1+Assumptions!$E$6/12)^DATEDIF('Project Database'!$D$7,AA$3,"m"),0)</f>
        <v>0</v>
      </c>
    </row>
    <row r="24" spans="1:27" x14ac:dyDescent="0.2">
      <c r="B24" t="s">
        <v>130</v>
      </c>
      <c r="D24" s="19">
        <f>SUM($D23:D23)</f>
        <v>0</v>
      </c>
      <c r="E24" s="19">
        <f>SUM($D23:E23)</f>
        <v>0</v>
      </c>
      <c r="F24" s="19">
        <f>SUM($D23:F23)</f>
        <v>40476190.476190478</v>
      </c>
      <c r="G24" s="19">
        <f>SUM($D23:G23)</f>
        <v>81053571.428571433</v>
      </c>
      <c r="H24" s="19">
        <f>SUM($D23:H23)</f>
        <v>121732395.83333334</v>
      </c>
      <c r="I24" s="19">
        <f>SUM($D23:I23)</f>
        <v>162512917.29910713</v>
      </c>
      <c r="J24" s="19">
        <f>SUM($D23:J23)</f>
        <v>203395390.06854537</v>
      </c>
      <c r="K24" s="19">
        <f>SUM($D23:K23)</f>
        <v>244380069.01990721</v>
      </c>
      <c r="L24" s="19">
        <f>SUM($D23:L23)</f>
        <v>285467209.66864741</v>
      </c>
      <c r="M24" s="19">
        <f>SUM($D23:M23)</f>
        <v>326657068.16900951</v>
      </c>
      <c r="N24" s="19">
        <f>SUM($D23:N23)</f>
        <v>367949901.31562251</v>
      </c>
      <c r="O24" s="19">
        <f>SUM($D23:O23)</f>
        <v>409345966.545102</v>
      </c>
      <c r="P24" s="19">
        <f>SUM($D23:P23)</f>
        <v>450845521.93765521</v>
      </c>
      <c r="Q24" s="19">
        <f>SUM($D23:Q23)</f>
        <v>492448826.2186898</v>
      </c>
      <c r="R24" s="19">
        <f>SUM($D23:R23)</f>
        <v>534156138.760427</v>
      </c>
      <c r="S24" s="19">
        <f>SUM($D23:S23)</f>
        <v>575967719.58351851</v>
      </c>
      <c r="T24" s="19">
        <f>SUM($D23:T23)</f>
        <v>617883829.35866773</v>
      </c>
      <c r="U24" s="19">
        <f>SUM($D23:U23)</f>
        <v>659904729.40825486</v>
      </c>
      <c r="V24" s="19">
        <f>SUM($D23:V23)</f>
        <v>702030681.70796597</v>
      </c>
      <c r="W24" s="19">
        <f>SUM($D23:W23)</f>
        <v>744261948.8884263</v>
      </c>
      <c r="X24" s="19">
        <f>SUM($D23:X23)</f>
        <v>786598794.23683786</v>
      </c>
      <c r="Y24" s="19">
        <f>SUM($D23:Y23)</f>
        <v>829041481.69862044</v>
      </c>
      <c r="Z24" s="19">
        <f>SUM($D23:Z23)</f>
        <v>871590275.87905741</v>
      </c>
      <c r="AA24" s="19">
        <f>SUM($D23:AA23)</f>
        <v>871590275.87905741</v>
      </c>
    </row>
    <row r="25" spans="1:27" x14ac:dyDescent="0.2">
      <c r="B25" t="s">
        <v>131</v>
      </c>
      <c r="D25" s="19">
        <f t="shared" ref="D25:AA25" si="9">MAX(0,$C22-D24)</f>
        <v>850000000</v>
      </c>
      <c r="E25" s="19">
        <f t="shared" si="9"/>
        <v>850000000</v>
      </c>
      <c r="F25" s="19">
        <f t="shared" si="9"/>
        <v>809523809.52380955</v>
      </c>
      <c r="G25" s="19">
        <f t="shared" si="9"/>
        <v>768946428.57142854</v>
      </c>
      <c r="H25" s="19">
        <f t="shared" si="9"/>
        <v>728267604.16666663</v>
      </c>
      <c r="I25" s="19">
        <f t="shared" si="9"/>
        <v>687487082.70089293</v>
      </c>
      <c r="J25" s="19">
        <f t="shared" si="9"/>
        <v>646604609.93145466</v>
      </c>
      <c r="K25" s="19">
        <f t="shared" si="9"/>
        <v>605619930.98009276</v>
      </c>
      <c r="L25" s="19">
        <f t="shared" si="9"/>
        <v>564532790.33135259</v>
      </c>
      <c r="M25" s="19">
        <f t="shared" si="9"/>
        <v>523342931.83099049</v>
      </c>
      <c r="N25" s="19">
        <f t="shared" si="9"/>
        <v>482050098.68437749</v>
      </c>
      <c r="O25" s="19">
        <f t="shared" si="9"/>
        <v>440654033.454898</v>
      </c>
      <c r="P25" s="19">
        <f t="shared" si="9"/>
        <v>399154478.06234479</v>
      </c>
      <c r="Q25" s="19">
        <f t="shared" si="9"/>
        <v>357551173.7813102</v>
      </c>
      <c r="R25" s="19">
        <f t="shared" si="9"/>
        <v>315843861.239573</v>
      </c>
      <c r="S25" s="19">
        <f t="shared" si="9"/>
        <v>274032280.41648149</v>
      </c>
      <c r="T25" s="19">
        <f t="shared" si="9"/>
        <v>232116170.64133227</v>
      </c>
      <c r="U25" s="19">
        <f t="shared" si="9"/>
        <v>190095270.59174514</v>
      </c>
      <c r="V25" s="19">
        <f t="shared" si="9"/>
        <v>147969318.29203403</v>
      </c>
      <c r="W25" s="19">
        <f t="shared" si="9"/>
        <v>105738051.1115737</v>
      </c>
      <c r="X25" s="19">
        <f t="shared" si="9"/>
        <v>63401205.763162136</v>
      </c>
      <c r="Y25" s="19">
        <f t="shared" si="9"/>
        <v>20958518.301379561</v>
      </c>
      <c r="Z25" s="19">
        <f t="shared" si="9"/>
        <v>0</v>
      </c>
      <c r="AA25" s="19">
        <f t="shared" si="9"/>
        <v>0</v>
      </c>
    </row>
    <row r="26" spans="1:27" x14ac:dyDescent="0.2">
      <c r="B26" t="s">
        <v>132</v>
      </c>
      <c r="D26" s="18">
        <f t="shared" ref="D26:AA26" si="10">MIN(1,D24/($C22))</f>
        <v>0</v>
      </c>
      <c r="E26" s="18">
        <f t="shared" si="10"/>
        <v>0</v>
      </c>
      <c r="F26" s="18">
        <f t="shared" si="10"/>
        <v>4.7619047619047623E-2</v>
      </c>
      <c r="G26" s="18">
        <f t="shared" si="10"/>
        <v>9.5357142857142863E-2</v>
      </c>
      <c r="H26" s="18">
        <f t="shared" si="10"/>
        <v>0.14321458333333334</v>
      </c>
      <c r="I26" s="18">
        <f t="shared" si="10"/>
        <v>0.19119166741071428</v>
      </c>
      <c r="J26" s="18">
        <f t="shared" si="10"/>
        <v>0.23928869419828866</v>
      </c>
      <c r="K26" s="18">
        <f t="shared" si="10"/>
        <v>0.28750596355283203</v>
      </c>
      <c r="L26" s="18">
        <f t="shared" si="10"/>
        <v>0.33584377608076166</v>
      </c>
      <c r="M26" s="18">
        <f t="shared" si="10"/>
        <v>0.38430243314001117</v>
      </c>
      <c r="N26" s="18">
        <f t="shared" si="10"/>
        <v>0.43288223684190885</v>
      </c>
      <c r="O26" s="18">
        <f t="shared" si="10"/>
        <v>0.48158349005306117</v>
      </c>
      <c r="P26" s="18">
        <f t="shared" si="10"/>
        <v>0.53040649639724147</v>
      </c>
      <c r="Q26" s="18">
        <f t="shared" si="10"/>
        <v>0.57935156025728207</v>
      </c>
      <c r="R26" s="18">
        <f t="shared" si="10"/>
        <v>0.62841898677697294</v>
      </c>
      <c r="S26" s="18">
        <f t="shared" si="10"/>
        <v>0.67760908186296298</v>
      </c>
      <c r="T26" s="18">
        <f t="shared" si="10"/>
        <v>0.72692215218666789</v>
      </c>
      <c r="U26" s="18">
        <f t="shared" si="10"/>
        <v>0.77635850518618221</v>
      </c>
      <c r="V26" s="18">
        <f t="shared" si="10"/>
        <v>0.82591844906819523</v>
      </c>
      <c r="W26" s="18">
        <f t="shared" si="10"/>
        <v>0.87560229280991331</v>
      </c>
      <c r="X26" s="18">
        <f t="shared" si="10"/>
        <v>0.92541034616098572</v>
      </c>
      <c r="Y26" s="18">
        <f t="shared" si="10"/>
        <v>0.97534291964543585</v>
      </c>
      <c r="Z26" s="18">
        <f t="shared" si="10"/>
        <v>1</v>
      </c>
      <c r="AA26" s="18">
        <f t="shared" si="10"/>
        <v>1</v>
      </c>
    </row>
    <row r="27" spans="1:27" x14ac:dyDescent="0.2">
      <c r="B27" t="s">
        <v>133</v>
      </c>
      <c r="D27" s="18">
        <f t="shared" ref="D27:AA27" si="11">MIN(0.9,D26)</f>
        <v>0</v>
      </c>
      <c r="E27" s="18">
        <f t="shared" si="11"/>
        <v>0</v>
      </c>
      <c r="F27" s="18">
        <f t="shared" si="11"/>
        <v>4.7619047619047623E-2</v>
      </c>
      <c r="G27" s="18">
        <f t="shared" si="11"/>
        <v>9.5357142857142863E-2</v>
      </c>
      <c r="H27" s="18">
        <f t="shared" si="11"/>
        <v>0.14321458333333334</v>
      </c>
      <c r="I27" s="18">
        <f t="shared" si="11"/>
        <v>0.19119166741071428</v>
      </c>
      <c r="J27" s="18">
        <f t="shared" si="11"/>
        <v>0.23928869419828866</v>
      </c>
      <c r="K27" s="18">
        <f t="shared" si="11"/>
        <v>0.28750596355283203</v>
      </c>
      <c r="L27" s="18">
        <f t="shared" si="11"/>
        <v>0.33584377608076166</v>
      </c>
      <c r="M27" s="18">
        <f t="shared" si="11"/>
        <v>0.38430243314001117</v>
      </c>
      <c r="N27" s="18">
        <f t="shared" si="11"/>
        <v>0.43288223684190885</v>
      </c>
      <c r="O27" s="18">
        <f t="shared" si="11"/>
        <v>0.48158349005306117</v>
      </c>
      <c r="P27" s="18">
        <f t="shared" si="11"/>
        <v>0.53040649639724147</v>
      </c>
      <c r="Q27" s="18">
        <f t="shared" si="11"/>
        <v>0.57935156025728207</v>
      </c>
      <c r="R27" s="18">
        <f t="shared" si="11"/>
        <v>0.62841898677697294</v>
      </c>
      <c r="S27" s="18">
        <f t="shared" si="11"/>
        <v>0.67760908186296298</v>
      </c>
      <c r="T27" s="18">
        <f t="shared" si="11"/>
        <v>0.72692215218666789</v>
      </c>
      <c r="U27" s="18">
        <f t="shared" si="11"/>
        <v>0.77635850518618221</v>
      </c>
      <c r="V27" s="18">
        <f t="shared" si="11"/>
        <v>0.82591844906819523</v>
      </c>
      <c r="W27" s="18">
        <f t="shared" si="11"/>
        <v>0.87560229280991331</v>
      </c>
      <c r="X27" s="18">
        <f t="shared" si="11"/>
        <v>0.9</v>
      </c>
      <c r="Y27" s="18">
        <f t="shared" si="11"/>
        <v>0.9</v>
      </c>
      <c r="Z27" s="18">
        <f t="shared" si="11"/>
        <v>0.9</v>
      </c>
      <c r="AA27" s="18">
        <f t="shared" si="11"/>
        <v>0.9</v>
      </c>
    </row>
    <row r="29" spans="1:27" x14ac:dyDescent="0.2">
      <c r="A29" s="25" t="s">
        <v>113</v>
      </c>
      <c r="B29" s="25" t="s">
        <v>134</v>
      </c>
      <c r="C29" s="25"/>
      <c r="D29" s="27">
        <f t="shared" ref="D29:AA29" si="12">D5+D11+D17+D23</f>
        <v>50000000</v>
      </c>
      <c r="E29" s="27">
        <f t="shared" si="12"/>
        <v>82625000</v>
      </c>
      <c r="F29" s="27">
        <f t="shared" si="12"/>
        <v>123307752.97619048</v>
      </c>
      <c r="G29" s="27">
        <f t="shared" si="12"/>
        <v>175996974.73958331</v>
      </c>
      <c r="H29" s="27">
        <f t="shared" si="12"/>
        <v>176436967.17643228</v>
      </c>
      <c r="I29" s="27">
        <f t="shared" si="12"/>
        <v>176878059.59437332</v>
      </c>
      <c r="J29" s="27">
        <f t="shared" si="12"/>
        <v>177320254.74335927</v>
      </c>
      <c r="K29" s="27">
        <f t="shared" si="12"/>
        <v>177763555.38021764</v>
      </c>
      <c r="L29" s="27">
        <f t="shared" si="12"/>
        <v>178207964.26866817</v>
      </c>
      <c r="M29" s="27">
        <f t="shared" si="12"/>
        <v>178653484.17933986</v>
      </c>
      <c r="N29" s="27">
        <f t="shared" si="12"/>
        <v>179100117.88978821</v>
      </c>
      <c r="O29" s="27">
        <f t="shared" si="12"/>
        <v>179547868.18451265</v>
      </c>
      <c r="P29" s="27">
        <f t="shared" si="12"/>
        <v>179996737.85497391</v>
      </c>
      <c r="Q29" s="27">
        <f t="shared" si="12"/>
        <v>180446729.69961137</v>
      </c>
      <c r="R29" s="27">
        <f t="shared" si="12"/>
        <v>180897846.52386037</v>
      </c>
      <c r="S29" s="27">
        <f t="shared" si="12"/>
        <v>181350091.14017004</v>
      </c>
      <c r="T29" s="27">
        <f t="shared" si="12"/>
        <v>181803466.36802042</v>
      </c>
      <c r="U29" s="27">
        <f t="shared" si="12"/>
        <v>182257975.03394046</v>
      </c>
      <c r="V29" s="27">
        <f t="shared" si="12"/>
        <v>130415163.95289934</v>
      </c>
      <c r="W29" s="27">
        <f t="shared" si="12"/>
        <v>130741201.86278158</v>
      </c>
      <c r="X29" s="27">
        <f t="shared" si="12"/>
        <v>131068054.86743852</v>
      </c>
      <c r="Y29" s="27">
        <f t="shared" si="12"/>
        <v>97231546.147962123</v>
      </c>
      <c r="Z29" s="27">
        <f t="shared" si="12"/>
        <v>97474625.013332039</v>
      </c>
      <c r="AA29" s="27">
        <f t="shared" si="12"/>
        <v>55063145.409977287</v>
      </c>
    </row>
    <row r="30" spans="1:27" x14ac:dyDescent="0.2">
      <c r="A30" s="25"/>
      <c r="B30" s="25" t="s">
        <v>135</v>
      </c>
      <c r="C30" s="25"/>
      <c r="D30" s="27">
        <f t="shared" ref="D30:AA30" si="13">D7+D13+D19+D25</f>
        <v>3450000000</v>
      </c>
      <c r="E30" s="27">
        <f t="shared" si="13"/>
        <v>3367375000</v>
      </c>
      <c r="F30" s="27">
        <f t="shared" si="13"/>
        <v>3244067247.0238094</v>
      </c>
      <c r="G30" s="27">
        <f t="shared" si="13"/>
        <v>3068070272.2842264</v>
      </c>
      <c r="H30" s="27">
        <f t="shared" si="13"/>
        <v>2891633305.1077938</v>
      </c>
      <c r="I30" s="27">
        <f t="shared" si="13"/>
        <v>2714755245.5134206</v>
      </c>
      <c r="J30" s="27">
        <f t="shared" si="13"/>
        <v>2537434990.7700615</v>
      </c>
      <c r="K30" s="27">
        <f t="shared" si="13"/>
        <v>2359671435.3898439</v>
      </c>
      <c r="L30" s="27">
        <f t="shared" si="13"/>
        <v>2181463471.1211758</v>
      </c>
      <c r="M30" s="27">
        <f t="shared" si="13"/>
        <v>2002809986.9418356</v>
      </c>
      <c r="N30" s="27">
        <f t="shared" si="13"/>
        <v>1823709869.0520473</v>
      </c>
      <c r="O30" s="27">
        <f t="shared" si="13"/>
        <v>1644162000.8675346</v>
      </c>
      <c r="P30" s="27">
        <f t="shared" si="13"/>
        <v>1464165263.0125608</v>
      </c>
      <c r="Q30" s="27">
        <f t="shared" si="13"/>
        <v>1283718533.3129497</v>
      </c>
      <c r="R30" s="27">
        <f t="shared" si="13"/>
        <v>1102820686.7890892</v>
      </c>
      <c r="S30" s="27">
        <f t="shared" si="13"/>
        <v>921470595.64891911</v>
      </c>
      <c r="T30" s="27">
        <f t="shared" si="13"/>
        <v>739667129.28089881</v>
      </c>
      <c r="U30" s="27">
        <f t="shared" si="13"/>
        <v>576791561.69736719</v>
      </c>
      <c r="V30" s="27">
        <f t="shared" si="13"/>
        <v>446376397.74446785</v>
      </c>
      <c r="W30" s="27">
        <f t="shared" si="13"/>
        <v>315635195.88168633</v>
      </c>
      <c r="X30" s="27">
        <f t="shared" si="13"/>
        <v>200238683.67225754</v>
      </c>
      <c r="Y30" s="27">
        <f t="shared" si="13"/>
        <v>103007137.52429533</v>
      </c>
      <c r="Z30" s="27">
        <f t="shared" si="13"/>
        <v>27122788.390020728</v>
      </c>
      <c r="AA30" s="27">
        <f t="shared" si="13"/>
        <v>0</v>
      </c>
    </row>
  </sheetData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AD23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" width="22" customWidth="1"/>
    <col min="3" max="3" width="14" customWidth="1"/>
    <col min="4" max="27" width="13" customWidth="1"/>
  </cols>
  <sheetData>
    <row r="1" spans="1:30" ht="18" x14ac:dyDescent="0.2">
      <c r="A1" s="5" t="s">
        <v>136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x14ac:dyDescent="0.2">
      <c r="A3" s="9" t="s">
        <v>105</v>
      </c>
      <c r="B3" s="9" t="s">
        <v>106</v>
      </c>
      <c r="C3" s="9" t="s">
        <v>137</v>
      </c>
      <c r="D3" s="37">
        <v>46113</v>
      </c>
      <c r="E3" s="37">
        <v>46143</v>
      </c>
      <c r="F3" s="37">
        <v>46174</v>
      </c>
      <c r="G3" s="37">
        <v>46204</v>
      </c>
      <c r="H3" s="37">
        <v>46235</v>
      </c>
      <c r="I3" s="37">
        <v>46266</v>
      </c>
      <c r="J3" s="37">
        <v>46296</v>
      </c>
      <c r="K3" s="37">
        <v>46327</v>
      </c>
      <c r="L3" s="37">
        <v>46357</v>
      </c>
      <c r="M3" s="37">
        <v>46388</v>
      </c>
      <c r="N3" s="37">
        <v>46419</v>
      </c>
      <c r="O3" s="37">
        <v>46447</v>
      </c>
      <c r="P3" s="37">
        <v>46478</v>
      </c>
      <c r="Q3" s="37">
        <v>46508</v>
      </c>
      <c r="R3" s="37">
        <v>46539</v>
      </c>
      <c r="S3" s="37">
        <v>46569</v>
      </c>
      <c r="T3" s="37">
        <v>46600</v>
      </c>
      <c r="U3" s="37">
        <v>46631</v>
      </c>
      <c r="V3" s="37">
        <v>46661</v>
      </c>
      <c r="W3" s="37">
        <v>46692</v>
      </c>
      <c r="X3" s="37">
        <v>46722</v>
      </c>
      <c r="Y3" s="37">
        <v>46753</v>
      </c>
      <c r="Z3" s="37">
        <v>46784</v>
      </c>
      <c r="AA3" s="37">
        <v>46813</v>
      </c>
    </row>
    <row r="4" spans="1:30" x14ac:dyDescent="0.2">
      <c r="A4" s="30" t="s">
        <v>95</v>
      </c>
      <c r="B4" s="30" t="s">
        <v>138</v>
      </c>
      <c r="C4" s="38">
        <f>'Project Database'!$J$4</f>
        <v>120000000</v>
      </c>
      <c r="D4" s="38">
        <f>$C4</f>
        <v>120000000</v>
      </c>
      <c r="E4" s="38">
        <f t="shared" ref="E4:AA4" si="0">D7</f>
        <v>101485440</v>
      </c>
      <c r="F4" s="38">
        <f t="shared" si="0"/>
        <v>82971821.760000005</v>
      </c>
      <c r="G4" s="38">
        <f t="shared" si="0"/>
        <v>64459336.547040023</v>
      </c>
      <c r="H4" s="38">
        <f t="shared" si="0"/>
        <v>45948176.861978203</v>
      </c>
      <c r="I4" s="38">
        <f t="shared" si="0"/>
        <v>27438536.445597999</v>
      </c>
      <c r="J4" s="38">
        <f t="shared" si="0"/>
        <v>40290610.284742698</v>
      </c>
      <c r="K4" s="38">
        <f t="shared" si="0"/>
        <v>53270034.618477412</v>
      </c>
      <c r="L4" s="38">
        <f t="shared" si="0"/>
        <v>66377508.704278566</v>
      </c>
      <c r="M4" s="38">
        <f t="shared" si="0"/>
        <v>79613735.071291238</v>
      </c>
      <c r="N4" s="38">
        <f t="shared" si="0"/>
        <v>92979419.534602433</v>
      </c>
      <c r="O4" s="38">
        <f t="shared" si="0"/>
        <v>106475271.20957443</v>
      </c>
      <c r="P4" s="38">
        <f t="shared" si="0"/>
        <v>151462002.52623844</v>
      </c>
      <c r="Q4" s="38">
        <f t="shared" si="0"/>
        <v>196705769.24374866</v>
      </c>
      <c r="R4" s="38">
        <f t="shared" si="0"/>
        <v>242207792.22489744</v>
      </c>
      <c r="S4" s="38">
        <f t="shared" si="0"/>
        <v>287969297.69773126</v>
      </c>
      <c r="T4" s="38">
        <f t="shared" si="0"/>
        <v>333991517.2782163</v>
      </c>
      <c r="U4" s="38">
        <f t="shared" si="0"/>
        <v>964363655.08092189</v>
      </c>
      <c r="V4" s="38">
        <f t="shared" si="0"/>
        <v>1008574667.5218247</v>
      </c>
      <c r="W4" s="38">
        <f t="shared" si="0"/>
        <v>1105339232.0850103</v>
      </c>
      <c r="X4" s="38">
        <f t="shared" si="0"/>
        <v>1202490854.9064486</v>
      </c>
      <c r="Y4" s="38">
        <f t="shared" si="0"/>
        <v>1300031084.2191727</v>
      </c>
      <c r="Z4" s="38">
        <f t="shared" si="0"/>
        <v>1397961474.4491477</v>
      </c>
      <c r="AA4" s="38">
        <f t="shared" si="0"/>
        <v>1496283586.2400424</v>
      </c>
    </row>
    <row r="5" spans="1:30" x14ac:dyDescent="0.2">
      <c r="B5" t="s">
        <v>139</v>
      </c>
      <c r="D5" s="19">
        <f>Collections!D9</f>
        <v>31485440</v>
      </c>
      <c r="E5" s="19">
        <f>Collections!E9</f>
        <v>31611381.760000005</v>
      </c>
      <c r="F5" s="19">
        <f>Collections!F9</f>
        <v>31737827.287040003</v>
      </c>
      <c r="G5" s="19">
        <f>Collections!G9</f>
        <v>31864778.596188165</v>
      </c>
      <c r="H5" s="19">
        <f>Collections!H9</f>
        <v>31992237.710572917</v>
      </c>
      <c r="I5" s="19">
        <f>Collections!I9</f>
        <v>63480206.661415204</v>
      </c>
      <c r="J5" s="19">
        <f>Collections!J9</f>
        <v>63734127.488060869</v>
      </c>
      <c r="K5" s="19">
        <f>Collections!K9</f>
        <v>63989063.998013124</v>
      </c>
      <c r="L5" s="19">
        <f>Collections!L9</f>
        <v>64245020.254005171</v>
      </c>
      <c r="M5" s="19">
        <f>Collections!M9</f>
        <v>64502000.335021198</v>
      </c>
      <c r="N5" s="19">
        <f>Collections!N9</f>
        <v>64760008.336361274</v>
      </c>
      <c r="O5" s="19">
        <f>Collections!O9</f>
        <v>96379048.36970672</v>
      </c>
      <c r="P5" s="19">
        <f>Collections!P9</f>
        <v>96764564.563185543</v>
      </c>
      <c r="Q5" s="19">
        <f>Collections!Q9</f>
        <v>97151622.821438313</v>
      </c>
      <c r="R5" s="19">
        <f>Collections!R9</f>
        <v>97540229.312724054</v>
      </c>
      <c r="S5" s="19">
        <f>Collections!S9</f>
        <v>97930390.229974955</v>
      </c>
      <c r="T5" s="19">
        <f>Collections!T9</f>
        <v>682410078.87881923</v>
      </c>
      <c r="U5" s="19">
        <f>Collections!U9</f>
        <v>96379048.36970672</v>
      </c>
      <c r="V5" s="19">
        <f>Collections!V9</f>
        <v>96764564.563185543</v>
      </c>
      <c r="W5" s="19">
        <f>Collections!W9</f>
        <v>97151622.821438313</v>
      </c>
      <c r="X5" s="19">
        <f>Collections!X9</f>
        <v>97540229.312724054</v>
      </c>
      <c r="Y5" s="19">
        <f>Collections!Y9</f>
        <v>97930390.229974955</v>
      </c>
      <c r="Z5" s="19">
        <f>Collections!Z9</f>
        <v>98322111.790894851</v>
      </c>
      <c r="AA5" s="19">
        <f>Collections!AA9</f>
        <v>0</v>
      </c>
    </row>
    <row r="6" spans="1:30" x14ac:dyDescent="0.2">
      <c r="B6" t="s">
        <v>140</v>
      </c>
      <c r="D6" s="19">
        <f>MIN('Construction Costs'!D5,MAX(0,D4+D5-(SUM(Collections!$C$9:D9)*$C8)))</f>
        <v>50000000</v>
      </c>
      <c r="E6" s="19">
        <f>MIN('Construction Costs'!E5,MAX(0,E4+E5-(SUM(Collections!$C$9:E9)*$C8)))</f>
        <v>50125000</v>
      </c>
      <c r="F6" s="19">
        <f>MIN('Construction Costs'!F5,MAX(0,F4+F5-(SUM(Collections!$C$9:F9)*$C8)))</f>
        <v>50250312.499999993</v>
      </c>
      <c r="G6" s="19">
        <f>MIN('Construction Costs'!G5,MAX(0,G4+G5-(SUM(Collections!$C$9:G9)*$C8)))</f>
        <v>50375938.281249985</v>
      </c>
      <c r="H6" s="19">
        <f>MIN('Construction Costs'!H5,MAX(0,H4+H5-(SUM(Collections!$C$9:H9)*$C8)))</f>
        <v>50501878.126953118</v>
      </c>
      <c r="I6" s="19">
        <f>MIN('Construction Costs'!I5,MAX(0,I4+I5-(SUM(Collections!$C$9:I9)*$C8)))</f>
        <v>50628132.822270498</v>
      </c>
      <c r="J6" s="19">
        <f>MIN('Construction Costs'!J5,MAX(0,J4+J5-(SUM(Collections!$C$9:J9)*$C8)))</f>
        <v>50754703.154326163</v>
      </c>
      <c r="K6" s="19">
        <f>MIN('Construction Costs'!K5,MAX(0,K4+K5-(SUM(Collections!$C$9:K9)*$C8)))</f>
        <v>50881589.912211977</v>
      </c>
      <c r="L6" s="19">
        <f>MIN('Construction Costs'!L5,MAX(0,L4+L5-(SUM(Collections!$C$9:L9)*$C8)))</f>
        <v>51008793.886992507</v>
      </c>
      <c r="M6" s="19">
        <f>MIN('Construction Costs'!M5,MAX(0,M4+M5-(SUM(Collections!$C$9:M9)*$C8)))</f>
        <v>51136315.871709995</v>
      </c>
      <c r="N6" s="19">
        <f>MIN('Construction Costs'!N5,MAX(0,N4+N5-(SUM(Collections!$C$9:N9)*$C8)))</f>
        <v>51264156.661389261</v>
      </c>
      <c r="O6" s="19">
        <f>MIN('Construction Costs'!O5,MAX(0,O4+O5-(SUM(Collections!$C$9:O9)*$C8)))</f>
        <v>51392317.053042725</v>
      </c>
      <c r="P6" s="19">
        <f>MIN('Construction Costs'!P5,MAX(0,P4+P5-(SUM(Collections!$C$9:P9)*$C8)))</f>
        <v>51520797.845675334</v>
      </c>
      <c r="Q6" s="19">
        <f>MIN('Construction Costs'!Q5,MAX(0,Q4+Q5-(SUM(Collections!$C$9:Q9)*$C8)))</f>
        <v>51649599.840289526</v>
      </c>
      <c r="R6" s="19">
        <f>MIN('Construction Costs'!R5,MAX(0,R4+R5-(SUM(Collections!$C$9:R9)*$C8)))</f>
        <v>51778723.839890242</v>
      </c>
      <c r="S6" s="19">
        <f>MIN('Construction Costs'!S5,MAX(0,S4+S5-(SUM(Collections!$C$9:S9)*$C8)))</f>
        <v>51908170.649489962</v>
      </c>
      <c r="T6" s="19">
        <f>MIN('Construction Costs'!T5,MAX(0,T4+T5-(SUM(Collections!$C$9:T9)*$C8)))</f>
        <v>52037941.076113693</v>
      </c>
      <c r="U6" s="19">
        <f>MIN('Construction Costs'!U5,MAX(0,U4+U5-(SUM(Collections!$C$9:U9)*$C8)))</f>
        <v>52168035.928803965</v>
      </c>
      <c r="V6" s="19">
        <f>MIN('Construction Costs'!V5,MAX(0,V4+V5-(SUM(Collections!$C$9:V9)*$C8)))</f>
        <v>0</v>
      </c>
      <c r="W6" s="19">
        <f>MIN('Construction Costs'!W5,MAX(0,W4+W5-(SUM(Collections!$C$9:W9)*$C8)))</f>
        <v>0</v>
      </c>
      <c r="X6" s="19">
        <f>MIN('Construction Costs'!X5,MAX(0,X4+X5-(SUM(Collections!$C$9:X9)*$C8)))</f>
        <v>0</v>
      </c>
      <c r="Y6" s="19">
        <f>MIN('Construction Costs'!Y5,MAX(0,Y4+Y5-(SUM(Collections!$C$9:Y9)*$C8)))</f>
        <v>0</v>
      </c>
      <c r="Z6" s="19">
        <f>MIN('Construction Costs'!Z5,MAX(0,Z4+Z5-(SUM(Collections!$C$9:Z9)*$C8)))</f>
        <v>0</v>
      </c>
      <c r="AA6" s="19">
        <f>MIN('Construction Costs'!AA5,MAX(0,AA4+AA5-(SUM(Collections!$C$9:AA9)*$C8)))</f>
        <v>0</v>
      </c>
    </row>
    <row r="7" spans="1:30" x14ac:dyDescent="0.2">
      <c r="B7" t="s">
        <v>141</v>
      </c>
      <c r="D7" s="19">
        <f t="shared" ref="D7:AA7" si="1">D4+D5-D6</f>
        <v>101485440</v>
      </c>
      <c r="E7" s="19">
        <f t="shared" si="1"/>
        <v>82971821.760000005</v>
      </c>
      <c r="F7" s="19">
        <f t="shared" si="1"/>
        <v>64459336.547040023</v>
      </c>
      <c r="G7" s="19">
        <f t="shared" si="1"/>
        <v>45948176.861978203</v>
      </c>
      <c r="H7" s="19">
        <f t="shared" si="1"/>
        <v>27438536.445597999</v>
      </c>
      <c r="I7" s="19">
        <f t="shared" si="1"/>
        <v>40290610.284742698</v>
      </c>
      <c r="J7" s="19">
        <f t="shared" si="1"/>
        <v>53270034.618477412</v>
      </c>
      <c r="K7" s="19">
        <f t="shared" si="1"/>
        <v>66377508.704278566</v>
      </c>
      <c r="L7" s="19">
        <f t="shared" si="1"/>
        <v>79613735.071291238</v>
      </c>
      <c r="M7" s="19">
        <f t="shared" si="1"/>
        <v>92979419.534602433</v>
      </c>
      <c r="N7" s="19">
        <f t="shared" si="1"/>
        <v>106475271.20957443</v>
      </c>
      <c r="O7" s="19">
        <f t="shared" si="1"/>
        <v>151462002.52623844</v>
      </c>
      <c r="P7" s="19">
        <f t="shared" si="1"/>
        <v>196705769.24374866</v>
      </c>
      <c r="Q7" s="19">
        <f t="shared" si="1"/>
        <v>242207792.22489744</v>
      </c>
      <c r="R7" s="19">
        <f t="shared" si="1"/>
        <v>287969297.69773126</v>
      </c>
      <c r="S7" s="19">
        <f t="shared" si="1"/>
        <v>333991517.2782163</v>
      </c>
      <c r="T7" s="19">
        <f t="shared" si="1"/>
        <v>964363655.08092189</v>
      </c>
      <c r="U7" s="19">
        <f t="shared" si="1"/>
        <v>1008574667.5218247</v>
      </c>
      <c r="V7" s="19">
        <f t="shared" si="1"/>
        <v>1105339232.0850103</v>
      </c>
      <c r="W7" s="19">
        <f t="shared" si="1"/>
        <v>1202490854.9064486</v>
      </c>
      <c r="X7" s="19">
        <f t="shared" si="1"/>
        <v>1300031084.2191727</v>
      </c>
      <c r="Y7" s="19">
        <f t="shared" si="1"/>
        <v>1397961474.4491477</v>
      </c>
      <c r="Z7" s="19">
        <f t="shared" si="1"/>
        <v>1496283586.2400424</v>
      </c>
      <c r="AA7" s="19">
        <f t="shared" si="1"/>
        <v>1496283586.2400424</v>
      </c>
    </row>
    <row r="8" spans="1:30" x14ac:dyDescent="0.2">
      <c r="B8" t="s">
        <v>142</v>
      </c>
      <c r="C8" s="24">
        <v>0.1</v>
      </c>
    </row>
    <row r="9" spans="1:30" x14ac:dyDescent="0.2">
      <c r="A9" s="30" t="s">
        <v>97</v>
      </c>
      <c r="B9" s="30" t="s">
        <v>138</v>
      </c>
      <c r="C9" s="38">
        <f>'Project Database'!$J$5</f>
        <v>80000000</v>
      </c>
      <c r="D9" s="38">
        <f>$C9</f>
        <v>80000000</v>
      </c>
      <c r="E9" s="38">
        <f t="shared" ref="E9:AA9" si="2">D12</f>
        <v>100638800</v>
      </c>
      <c r="F9" s="38">
        <f t="shared" si="2"/>
        <v>88860155.200000003</v>
      </c>
      <c r="G9" s="38">
        <f t="shared" si="2"/>
        <v>77083145.820800006</v>
      </c>
      <c r="H9" s="38">
        <f t="shared" si="2"/>
        <v>65307900.279083207</v>
      </c>
      <c r="I9" s="38">
        <f t="shared" si="2"/>
        <v>53534547.809887059</v>
      </c>
      <c r="J9" s="38">
        <f t="shared" si="2"/>
        <v>41763218.470638335</v>
      </c>
      <c r="K9" s="38">
        <f t="shared" si="2"/>
        <v>50632843.145206392</v>
      </c>
      <c r="L9" s="38">
        <f t="shared" si="2"/>
        <v>59587308.747974448</v>
      </c>
      <c r="M9" s="38">
        <f t="shared" si="2"/>
        <v>68627078.048729032</v>
      </c>
      <c r="N9" s="38">
        <f t="shared" si="2"/>
        <v>77752615.976851046</v>
      </c>
      <c r="O9" s="38">
        <f t="shared" si="2"/>
        <v>86964389.630725369</v>
      </c>
      <c r="P9" s="38">
        <f t="shared" si="2"/>
        <v>96262868.287190109</v>
      </c>
      <c r="Q9" s="38">
        <f t="shared" si="2"/>
        <v>126287323.4110256</v>
      </c>
      <c r="R9" s="38">
        <f t="shared" si="2"/>
        <v>156481983.86448312</v>
      </c>
      <c r="S9" s="38">
        <f t="shared" si="2"/>
        <v>186847655.737654</v>
      </c>
      <c r="T9" s="38">
        <f t="shared" si="2"/>
        <v>217385148.65816188</v>
      </c>
      <c r="U9" s="38">
        <f t="shared" si="2"/>
        <v>248095275.80609569</v>
      </c>
      <c r="V9" s="38">
        <f t="shared" si="2"/>
        <v>278978853.92900443</v>
      </c>
      <c r="W9" s="38">
        <f t="shared" si="2"/>
        <v>330675503.3569541</v>
      </c>
      <c r="X9" s="38">
        <f t="shared" si="2"/>
        <v>811474225.35039771</v>
      </c>
      <c r="Y9" s="38">
        <f t="shared" si="2"/>
        <v>841333155.71661973</v>
      </c>
      <c r="Z9" s="38">
        <f t="shared" si="2"/>
        <v>905526819.13305628</v>
      </c>
      <c r="AA9" s="38">
        <f t="shared" si="2"/>
        <v>969977257.2031585</v>
      </c>
    </row>
    <row r="10" spans="1:30" x14ac:dyDescent="0.2">
      <c r="B10" t="s">
        <v>139</v>
      </c>
      <c r="D10" s="19">
        <f>Collections!D16</f>
        <v>20638800</v>
      </c>
      <c r="E10" s="19">
        <f>Collections!E16</f>
        <v>20721355.200000003</v>
      </c>
      <c r="F10" s="19">
        <f>Collections!F16</f>
        <v>20804240.620800003</v>
      </c>
      <c r="G10" s="19">
        <f>Collections!G16</f>
        <v>20887457.583283201</v>
      </c>
      <c r="H10" s="19">
        <f>Collections!H16</f>
        <v>20971007.413616337</v>
      </c>
      <c r="I10" s="19">
        <f>Collections!I16</f>
        <v>21054891.443270799</v>
      </c>
      <c r="J10" s="19">
        <f>Collections!J16</f>
        <v>41777911.009043887</v>
      </c>
      <c r="K10" s="19">
        <f>Collections!K16</f>
        <v>41945022.653080061</v>
      </c>
      <c r="L10" s="19">
        <f>Collections!L16</f>
        <v>42112802.743692383</v>
      </c>
      <c r="M10" s="19">
        <f>Collections!M16</f>
        <v>42281253.954667151</v>
      </c>
      <c r="N10" s="19">
        <f>Collections!N16</f>
        <v>42450378.970485821</v>
      </c>
      <c r="O10" s="19">
        <f>Collections!O16</f>
        <v>42620180.486367762</v>
      </c>
      <c r="P10" s="19">
        <f>Collections!P16</f>
        <v>63429461.208313242</v>
      </c>
      <c r="Q10" s="19">
        <f>Collections!Q16</f>
        <v>63683179.053146496</v>
      </c>
      <c r="R10" s="19">
        <f>Collections!R16</f>
        <v>63937911.769359082</v>
      </c>
      <c r="S10" s="19">
        <f>Collections!S16</f>
        <v>64193663.416436516</v>
      </c>
      <c r="T10" s="19">
        <f>Collections!T16</f>
        <v>64450438.070102267</v>
      </c>
      <c r="U10" s="19">
        <f>Collections!U16</f>
        <v>64708239.822382674</v>
      </c>
      <c r="V10" s="19">
        <f>Collections!V16</f>
        <v>85605872.78167221</v>
      </c>
      <c r="W10" s="19">
        <f>Collections!W16</f>
        <v>514792718.40555054</v>
      </c>
      <c r="X10" s="19">
        <f>Collections!X16</f>
        <v>63937911.769359082</v>
      </c>
      <c r="Y10" s="19">
        <f>Collections!Y16</f>
        <v>64193663.416436516</v>
      </c>
      <c r="Z10" s="19">
        <f>Collections!Z16</f>
        <v>64450438.070102267</v>
      </c>
      <c r="AA10" s="19">
        <f>Collections!AA16</f>
        <v>0</v>
      </c>
    </row>
    <row r="11" spans="1:30" x14ac:dyDescent="0.2">
      <c r="B11" t="s">
        <v>140</v>
      </c>
      <c r="D11" s="19">
        <f>MIN('Construction Costs'!D11,MAX(0,D9+D10-(SUM(Collections!$C$16:D16)*$C13)))</f>
        <v>0</v>
      </c>
      <c r="E11" s="19">
        <f>MIN('Construction Costs'!E11,MAX(0,E9+E10-(SUM(Collections!$C$16:E16)*$C13)))</f>
        <v>32500000</v>
      </c>
      <c r="F11" s="19">
        <f>MIN('Construction Costs'!F11,MAX(0,F9+F10-(SUM(Collections!$C$16:F16)*$C13)))</f>
        <v>32581250</v>
      </c>
      <c r="G11" s="19">
        <f>MIN('Construction Costs'!G11,MAX(0,G9+G10-(SUM(Collections!$C$16:G16)*$C13)))</f>
        <v>32662703.124999996</v>
      </c>
      <c r="H11" s="19">
        <f>MIN('Construction Costs'!H11,MAX(0,H9+H10-(SUM(Collections!$C$16:H16)*$C13)))</f>
        <v>32744359.882812493</v>
      </c>
      <c r="I11" s="19">
        <f>MIN('Construction Costs'!I11,MAX(0,I9+I10-(SUM(Collections!$C$16:I16)*$C13)))</f>
        <v>32826220.782519523</v>
      </c>
      <c r="J11" s="19">
        <f>MIN('Construction Costs'!J11,MAX(0,J9+J10-(SUM(Collections!$C$16:J16)*$C13)))</f>
        <v>32908286.334475826</v>
      </c>
      <c r="K11" s="19">
        <f>MIN('Construction Costs'!K11,MAX(0,K9+K10-(SUM(Collections!$C$16:K16)*$C13)))</f>
        <v>32990557.050312005</v>
      </c>
      <c r="L11" s="19">
        <f>MIN('Construction Costs'!L11,MAX(0,L9+L10-(SUM(Collections!$C$16:L16)*$C13)))</f>
        <v>33073033.442937784</v>
      </c>
      <c r="M11" s="19">
        <f>MIN('Construction Costs'!M11,MAX(0,M9+M10-(SUM(Collections!$C$16:M16)*$C13)))</f>
        <v>33155716.02654513</v>
      </c>
      <c r="N11" s="19">
        <f>MIN('Construction Costs'!N11,MAX(0,N9+N10-(SUM(Collections!$C$16:N16)*$C13)))</f>
        <v>33238605.316611495</v>
      </c>
      <c r="O11" s="19">
        <f>MIN('Construction Costs'!O11,MAX(0,O9+O10-(SUM(Collections!$C$16:O16)*$C13)))</f>
        <v>33321701.829903018</v>
      </c>
      <c r="P11" s="19">
        <f>MIN('Construction Costs'!P11,MAX(0,P9+P10-(SUM(Collections!$C$16:P16)*$C13)))</f>
        <v>33405006.084477771</v>
      </c>
      <c r="Q11" s="19">
        <f>MIN('Construction Costs'!Q11,MAX(0,Q9+Q10-(SUM(Collections!$C$16:Q16)*$C13)))</f>
        <v>33488518.59968897</v>
      </c>
      <c r="R11" s="19">
        <f>MIN('Construction Costs'!R11,MAX(0,R9+R10-(SUM(Collections!$C$16:R16)*$C13)))</f>
        <v>33572239.896188192</v>
      </c>
      <c r="S11" s="19">
        <f>MIN('Construction Costs'!S11,MAX(0,S9+S10-(SUM(Collections!$C$16:S16)*$C13)))</f>
        <v>33656170.495928653</v>
      </c>
      <c r="T11" s="19">
        <f>MIN('Construction Costs'!T11,MAX(0,T9+T10-(SUM(Collections!$C$16:T16)*$C13)))</f>
        <v>33740310.922168471</v>
      </c>
      <c r="U11" s="19">
        <f>MIN('Construction Costs'!U11,MAX(0,U9+U10-(SUM(Collections!$C$16:U16)*$C13)))</f>
        <v>33824661.699473903</v>
      </c>
      <c r="V11" s="19">
        <f>MIN('Construction Costs'!V11,MAX(0,V9+V10-(SUM(Collections!$C$16:V16)*$C13)))</f>
        <v>33909223.35372258</v>
      </c>
      <c r="W11" s="19">
        <f>MIN('Construction Costs'!W11,MAX(0,W9+W10-(SUM(Collections!$C$16:W16)*$C13)))</f>
        <v>33993996.412106887</v>
      </c>
      <c r="X11" s="19">
        <f>MIN('Construction Costs'!X11,MAX(0,X9+X10-(SUM(Collections!$C$16:X16)*$C13)))</f>
        <v>34078981.403137147</v>
      </c>
      <c r="Y11" s="19">
        <f>MIN('Construction Costs'!Y11,MAX(0,Y9+Y10-(SUM(Collections!$C$16:Y16)*$C13)))</f>
        <v>0</v>
      </c>
      <c r="Z11" s="19">
        <f>MIN('Construction Costs'!Z11,MAX(0,Z9+Z10-(SUM(Collections!$C$16:Z16)*$C13)))</f>
        <v>0</v>
      </c>
      <c r="AA11" s="19">
        <f>MIN('Construction Costs'!AA11,MAX(0,AA9+AA10-(SUM(Collections!$C$16:AA16)*$C13)))</f>
        <v>0</v>
      </c>
    </row>
    <row r="12" spans="1:30" x14ac:dyDescent="0.2">
      <c r="B12" t="s">
        <v>141</v>
      </c>
      <c r="D12" s="19">
        <f t="shared" ref="D12:AA12" si="3">D9+D10-D11</f>
        <v>100638800</v>
      </c>
      <c r="E12" s="19">
        <f t="shared" si="3"/>
        <v>88860155.200000003</v>
      </c>
      <c r="F12" s="19">
        <f t="shared" si="3"/>
        <v>77083145.820800006</v>
      </c>
      <c r="G12" s="19">
        <f t="shared" si="3"/>
        <v>65307900.279083207</v>
      </c>
      <c r="H12" s="19">
        <f t="shared" si="3"/>
        <v>53534547.809887059</v>
      </c>
      <c r="I12" s="19">
        <f t="shared" si="3"/>
        <v>41763218.470638335</v>
      </c>
      <c r="J12" s="19">
        <f t="shared" si="3"/>
        <v>50632843.145206392</v>
      </c>
      <c r="K12" s="19">
        <f t="shared" si="3"/>
        <v>59587308.747974448</v>
      </c>
      <c r="L12" s="19">
        <f t="shared" si="3"/>
        <v>68627078.048729032</v>
      </c>
      <c r="M12" s="19">
        <f t="shared" si="3"/>
        <v>77752615.976851046</v>
      </c>
      <c r="N12" s="19">
        <f t="shared" si="3"/>
        <v>86964389.630725369</v>
      </c>
      <c r="O12" s="19">
        <f t="shared" si="3"/>
        <v>96262868.287190109</v>
      </c>
      <c r="P12" s="19">
        <f t="shared" si="3"/>
        <v>126287323.4110256</v>
      </c>
      <c r="Q12" s="19">
        <f t="shared" si="3"/>
        <v>156481983.86448312</v>
      </c>
      <c r="R12" s="19">
        <f t="shared" si="3"/>
        <v>186847655.737654</v>
      </c>
      <c r="S12" s="19">
        <f t="shared" si="3"/>
        <v>217385148.65816188</v>
      </c>
      <c r="T12" s="19">
        <f t="shared" si="3"/>
        <v>248095275.80609569</v>
      </c>
      <c r="U12" s="19">
        <f t="shared" si="3"/>
        <v>278978853.92900443</v>
      </c>
      <c r="V12" s="19">
        <f t="shared" si="3"/>
        <v>330675503.3569541</v>
      </c>
      <c r="W12" s="19">
        <f t="shared" si="3"/>
        <v>811474225.35039771</v>
      </c>
      <c r="X12" s="19">
        <f t="shared" si="3"/>
        <v>841333155.71661973</v>
      </c>
      <c r="Y12" s="19">
        <f t="shared" si="3"/>
        <v>905526819.13305628</v>
      </c>
      <c r="Z12" s="19">
        <f t="shared" si="3"/>
        <v>969977257.2031585</v>
      </c>
      <c r="AA12" s="19">
        <f t="shared" si="3"/>
        <v>969977257.2031585</v>
      </c>
    </row>
    <row r="13" spans="1:30" x14ac:dyDescent="0.2">
      <c r="B13" t="s">
        <v>142</v>
      </c>
      <c r="C13" s="24">
        <v>0.1</v>
      </c>
    </row>
    <row r="14" spans="1:30" x14ac:dyDescent="0.2">
      <c r="A14" s="30" t="s">
        <v>99</v>
      </c>
      <c r="B14" s="30" t="s">
        <v>138</v>
      </c>
      <c r="C14" s="38">
        <f>'Project Database'!$J$6</f>
        <v>150000000</v>
      </c>
      <c r="D14" s="38">
        <f>$C14</f>
        <v>150000000</v>
      </c>
      <c r="E14" s="38">
        <f t="shared" ref="E14:AA14" si="4">D17</f>
        <v>150000000</v>
      </c>
      <c r="F14" s="38">
        <f t="shared" si="4"/>
        <v>150000000</v>
      </c>
      <c r="G14" s="38">
        <f t="shared" si="4"/>
        <v>173872800</v>
      </c>
      <c r="H14" s="38">
        <f t="shared" si="4"/>
        <v>145460138.8190476</v>
      </c>
      <c r="I14" s="38">
        <f t="shared" si="4"/>
        <v>117012398.42194284</v>
      </c>
      <c r="J14" s="38">
        <f t="shared" si="4"/>
        <v>88529634.920392543</v>
      </c>
      <c r="K14" s="38">
        <f t="shared" si="4"/>
        <v>60011905.141621746</v>
      </c>
      <c r="L14" s="38">
        <f t="shared" si="4"/>
        <v>31459266.632463552</v>
      </c>
      <c r="M14" s="38">
        <f t="shared" si="4"/>
        <v>26744577.663468212</v>
      </c>
      <c r="N14" s="38">
        <f t="shared" si="4"/>
        <v>24151874.212186977</v>
      </c>
      <c r="O14" s="38">
        <f t="shared" si="4"/>
        <v>29023041.709035724</v>
      </c>
      <c r="P14" s="38">
        <f t="shared" si="4"/>
        <v>33913693.875871867</v>
      </c>
      <c r="Q14" s="38">
        <f t="shared" si="4"/>
        <v>38823908.651375353</v>
      </c>
      <c r="R14" s="38">
        <f t="shared" si="4"/>
        <v>43753764.285980858</v>
      </c>
      <c r="S14" s="38">
        <f t="shared" si="4"/>
        <v>63282744.611375362</v>
      </c>
      <c r="T14" s="38">
        <f t="shared" si="4"/>
        <v>82970600.213440478</v>
      </c>
      <c r="U14" s="38">
        <f t="shared" si="4"/>
        <v>102818168.49167135</v>
      </c>
      <c r="V14" s="38">
        <f t="shared" si="4"/>
        <v>122826290.69990703</v>
      </c>
      <c r="W14" s="38">
        <f t="shared" si="4"/>
        <v>142995811.96300977</v>
      </c>
      <c r="X14" s="38">
        <f t="shared" si="4"/>
        <v>163327581.29361412</v>
      </c>
      <c r="Y14" s="38">
        <f t="shared" si="4"/>
        <v>207695251.60894623</v>
      </c>
      <c r="Z14" s="38">
        <f t="shared" si="4"/>
        <v>252322370.94771352</v>
      </c>
      <c r="AA14" s="38">
        <f t="shared" si="4"/>
        <v>819109417.17277884</v>
      </c>
    </row>
    <row r="15" spans="1:30" x14ac:dyDescent="0.2">
      <c r="B15" t="s">
        <v>139</v>
      </c>
      <c r="D15" s="19">
        <f>Collections!D23</f>
        <v>0</v>
      </c>
      <c r="E15" s="19">
        <f>Collections!E23</f>
        <v>0</v>
      </c>
      <c r="F15" s="19">
        <f>Collections!F23</f>
        <v>23872800.000000004</v>
      </c>
      <c r="G15" s="19">
        <f>Collections!G23</f>
        <v>23968291.200000003</v>
      </c>
      <c r="H15" s="19">
        <f>Collections!H23</f>
        <v>24064164.364800006</v>
      </c>
      <c r="I15" s="19">
        <f>Collections!I23</f>
        <v>24160421.022259206</v>
      </c>
      <c r="J15" s="19">
        <f>Collections!J23</f>
        <v>24257062.70634824</v>
      </c>
      <c r="K15" s="19">
        <f>Collections!K23</f>
        <v>24354090.957173631</v>
      </c>
      <c r="L15" s="19">
        <f>Collections!L23</f>
        <v>48324307.321002334</v>
      </c>
      <c r="M15" s="19">
        <f>Collections!M23</f>
        <v>48517604.550286338</v>
      </c>
      <c r="N15" s="19">
        <f>Collections!N23</f>
        <v>48711674.968487494</v>
      </c>
      <c r="O15" s="19">
        <f>Collections!O23</f>
        <v>48906521.66836144</v>
      </c>
      <c r="P15" s="19">
        <f>Collections!P23</f>
        <v>49102147.755034879</v>
      </c>
      <c r="Q15" s="19">
        <f>Collections!Q23</f>
        <v>49298556.346055016</v>
      </c>
      <c r="R15" s="19">
        <f>Collections!R23</f>
        <v>73368550.571439251</v>
      </c>
      <c r="S15" s="19">
        <f>Collections!S23</f>
        <v>73662024.773725003</v>
      </c>
      <c r="T15" s="19">
        <f>Collections!T23</f>
        <v>73956672.872819915</v>
      </c>
      <c r="U15" s="19">
        <f>Collections!U23</f>
        <v>74252499.564311191</v>
      </c>
      <c r="V15" s="19">
        <f>Collections!V23</f>
        <v>74549509.562568426</v>
      </c>
      <c r="W15" s="19">
        <f>Collections!W23</f>
        <v>74847707.600818709</v>
      </c>
      <c r="X15" s="19">
        <f>Collections!X23</f>
        <v>99019898.431221992</v>
      </c>
      <c r="Y15" s="19">
        <f>Collections!Y23</f>
        <v>99415978.024946868</v>
      </c>
      <c r="Z15" s="19">
        <f>Collections!Z23</f>
        <v>621712877.05796039</v>
      </c>
      <c r="AA15" s="19">
        <f>Collections!AA23</f>
        <v>0</v>
      </c>
    </row>
    <row r="16" spans="1:30" x14ac:dyDescent="0.2">
      <c r="B16" t="s">
        <v>140</v>
      </c>
      <c r="D16" s="19">
        <f>MIN('Construction Costs'!D17,MAX(0,D14+D15-(SUM(Collections!$C$23:D23)*$C18)))</f>
        <v>0</v>
      </c>
      <c r="E16" s="19">
        <f>MIN('Construction Costs'!E17,MAX(0,E14+E15-(SUM(Collections!$C$23:E23)*$C18)))</f>
        <v>0</v>
      </c>
      <c r="F16" s="19">
        <f>MIN('Construction Costs'!F17,MAX(0,F14+F15-(SUM(Collections!$C$23:F23)*$C18)))</f>
        <v>0</v>
      </c>
      <c r="G16" s="19">
        <f>MIN('Construction Costs'!G17,MAX(0,G14+G15-(SUM(Collections!$C$23:G23)*$C18)))</f>
        <v>52380952.380952381</v>
      </c>
      <c r="H16" s="19">
        <f>MIN('Construction Costs'!H17,MAX(0,H14+H15-(SUM(Collections!$C$23:H23)*$C18)))</f>
        <v>52511904.761904761</v>
      </c>
      <c r="I16" s="19">
        <f>MIN('Construction Costs'!I17,MAX(0,I14+I15-(SUM(Collections!$C$23:I23)*$C18)))</f>
        <v>52643184.523809515</v>
      </c>
      <c r="J16" s="19">
        <f>MIN('Construction Costs'!J17,MAX(0,J14+J15-(SUM(Collections!$C$23:J23)*$C18)))</f>
        <v>52774792.485119037</v>
      </c>
      <c r="K16" s="19">
        <f>MIN('Construction Costs'!K17,MAX(0,K14+K15-(SUM(Collections!$C$23:K23)*$C18)))</f>
        <v>52906729.466331832</v>
      </c>
      <c r="L16" s="19">
        <f>MIN('Construction Costs'!L17,MAX(0,L14+L15-(SUM(Collections!$C$23:L23)*$C18)))</f>
        <v>53038996.289997667</v>
      </c>
      <c r="M16" s="19">
        <f>MIN('Construction Costs'!M17,MAX(0,M14+M15-(SUM(Collections!$C$23:M23)*$C18)))</f>
        <v>51110308.001567572</v>
      </c>
      <c r="N16" s="19">
        <f>MIN('Construction Costs'!N17,MAX(0,N14+N15-(SUM(Collections!$C$23:N23)*$C18)))</f>
        <v>43840507.471638739</v>
      </c>
      <c r="O16" s="19">
        <f>MIN('Construction Costs'!O17,MAX(0,O14+O15-(SUM(Collections!$C$23:O23)*$C18)))</f>
        <v>44015869.501525298</v>
      </c>
      <c r="P16" s="19">
        <f>MIN('Construction Costs'!P17,MAX(0,P14+P15-(SUM(Collections!$C$23:P23)*$C18)))</f>
        <v>44191932.979531392</v>
      </c>
      <c r="Q16" s="19">
        <f>MIN('Construction Costs'!Q17,MAX(0,Q14+Q15-(SUM(Collections!$C$23:Q23)*$C18)))</f>
        <v>44368700.711449511</v>
      </c>
      <c r="R16" s="19">
        <f>MIN('Construction Costs'!R17,MAX(0,R14+R15-(SUM(Collections!$C$23:R23)*$C18)))</f>
        <v>53839570.246044755</v>
      </c>
      <c r="S16" s="19">
        <f>MIN('Construction Costs'!S17,MAX(0,S14+S15-(SUM(Collections!$C$23:S23)*$C18)))</f>
        <v>53974169.171659879</v>
      </c>
      <c r="T16" s="19">
        <f>MIN('Construction Costs'!T17,MAX(0,T14+T15-(SUM(Collections!$C$23:T23)*$C18)))</f>
        <v>54109104.594589032</v>
      </c>
      <c r="U16" s="19">
        <f>MIN('Construction Costs'!U17,MAX(0,U14+U15-(SUM(Collections!$C$23:U23)*$C18)))</f>
        <v>54244377.356075488</v>
      </c>
      <c r="V16" s="19">
        <f>MIN('Construction Costs'!V17,MAX(0,V14+V15-(SUM(Collections!$C$23:V23)*$C18)))</f>
        <v>54379988.299465671</v>
      </c>
      <c r="W16" s="19">
        <f>MIN('Construction Costs'!W17,MAX(0,W14+W15-(SUM(Collections!$C$23:W23)*$C18)))</f>
        <v>54515938.270214342</v>
      </c>
      <c r="X16" s="19">
        <f>MIN('Construction Costs'!X17,MAX(0,X14+X15-(SUM(Collections!$C$23:X23)*$C18)))</f>
        <v>54652228.11588987</v>
      </c>
      <c r="Y16" s="19">
        <f>MIN('Construction Costs'!Y17,MAX(0,Y14+Y15-(SUM(Collections!$C$23:Y23)*$C18)))</f>
        <v>54788858.686179601</v>
      </c>
      <c r="Z16" s="19">
        <f>MIN('Construction Costs'!Z17,MAX(0,Z14+Z15-(SUM(Collections!$C$23:Z23)*$C18)))</f>
        <v>54925830.832895041</v>
      </c>
      <c r="AA16" s="19">
        <f>MIN('Construction Costs'!AA17,MAX(0,AA14+AA15-(SUM(Collections!$C$23:AA23)*$C18)))</f>
        <v>55063145.409977287</v>
      </c>
    </row>
    <row r="17" spans="1:27" x14ac:dyDescent="0.2">
      <c r="B17" t="s">
        <v>141</v>
      </c>
      <c r="D17" s="19">
        <f t="shared" ref="D17:AA17" si="5">D14+D15-D16</f>
        <v>150000000</v>
      </c>
      <c r="E17" s="19">
        <f t="shared" si="5"/>
        <v>150000000</v>
      </c>
      <c r="F17" s="19">
        <f t="shared" si="5"/>
        <v>173872800</v>
      </c>
      <c r="G17" s="19">
        <f t="shared" si="5"/>
        <v>145460138.8190476</v>
      </c>
      <c r="H17" s="19">
        <f t="shared" si="5"/>
        <v>117012398.42194284</v>
      </c>
      <c r="I17" s="19">
        <f t="shared" si="5"/>
        <v>88529634.920392543</v>
      </c>
      <c r="J17" s="19">
        <f t="shared" si="5"/>
        <v>60011905.141621746</v>
      </c>
      <c r="K17" s="19">
        <f t="shared" si="5"/>
        <v>31459266.632463552</v>
      </c>
      <c r="L17" s="19">
        <f t="shared" si="5"/>
        <v>26744577.663468212</v>
      </c>
      <c r="M17" s="19">
        <f t="shared" si="5"/>
        <v>24151874.212186977</v>
      </c>
      <c r="N17" s="19">
        <f t="shared" si="5"/>
        <v>29023041.709035724</v>
      </c>
      <c r="O17" s="19">
        <f t="shared" si="5"/>
        <v>33913693.875871867</v>
      </c>
      <c r="P17" s="19">
        <f t="shared" si="5"/>
        <v>38823908.651375353</v>
      </c>
      <c r="Q17" s="19">
        <f t="shared" si="5"/>
        <v>43753764.285980858</v>
      </c>
      <c r="R17" s="19">
        <f t="shared" si="5"/>
        <v>63282744.611375362</v>
      </c>
      <c r="S17" s="19">
        <f t="shared" si="5"/>
        <v>82970600.213440478</v>
      </c>
      <c r="T17" s="19">
        <f t="shared" si="5"/>
        <v>102818168.49167135</v>
      </c>
      <c r="U17" s="19">
        <f t="shared" si="5"/>
        <v>122826290.69990703</v>
      </c>
      <c r="V17" s="19">
        <f t="shared" si="5"/>
        <v>142995811.96300977</v>
      </c>
      <c r="W17" s="19">
        <f t="shared" si="5"/>
        <v>163327581.29361412</v>
      </c>
      <c r="X17" s="19">
        <f t="shared" si="5"/>
        <v>207695251.60894623</v>
      </c>
      <c r="Y17" s="19">
        <f t="shared" si="5"/>
        <v>252322370.94771352</v>
      </c>
      <c r="Z17" s="19">
        <f t="shared" si="5"/>
        <v>819109417.17277884</v>
      </c>
      <c r="AA17" s="19">
        <f t="shared" si="5"/>
        <v>764046271.76280153</v>
      </c>
    </row>
    <row r="18" spans="1:27" x14ac:dyDescent="0.2">
      <c r="B18" t="s">
        <v>142</v>
      </c>
      <c r="C18" s="24">
        <v>0.1</v>
      </c>
    </row>
    <row r="19" spans="1:27" x14ac:dyDescent="0.2">
      <c r="A19" s="30" t="s">
        <v>101</v>
      </c>
      <c r="B19" s="30" t="s">
        <v>138</v>
      </c>
      <c r="C19" s="38">
        <f>'Project Database'!$J$7</f>
        <v>100000000</v>
      </c>
      <c r="D19" s="38">
        <f>$C19</f>
        <v>100000000</v>
      </c>
      <c r="E19" s="38">
        <f t="shared" ref="E19:AA19" si="6">D22</f>
        <v>100000000</v>
      </c>
      <c r="F19" s="38">
        <f t="shared" si="6"/>
        <v>113912080</v>
      </c>
      <c r="G19" s="38">
        <f t="shared" si="6"/>
        <v>87403617.84380953</v>
      </c>
      <c r="H19" s="38">
        <f t="shared" si="6"/>
        <v>60849836.124708578</v>
      </c>
      <c r="I19" s="38">
        <f t="shared" si="6"/>
        <v>34250705.350159802</v>
      </c>
      <c r="J19" s="38">
        <f t="shared" si="6"/>
        <v>7606196.2891199812</v>
      </c>
      <c r="K19" s="38">
        <f t="shared" si="6"/>
        <v>8431167.0042580012</v>
      </c>
      <c r="L19" s="38">
        <f t="shared" si="6"/>
        <v>11247307.672275037</v>
      </c>
      <c r="M19" s="38">
        <f t="shared" si="6"/>
        <v>14074712.902964134</v>
      </c>
      <c r="N19" s="38">
        <f t="shared" si="6"/>
        <v>16913427.754575994</v>
      </c>
      <c r="O19" s="38">
        <f t="shared" si="6"/>
        <v>19763497.465594299</v>
      </c>
      <c r="P19" s="38">
        <f t="shared" si="6"/>
        <v>22624967.455456674</v>
      </c>
      <c r="Q19" s="38">
        <f t="shared" si="6"/>
        <v>25497883.325278506</v>
      </c>
      <c r="R19" s="38">
        <f t="shared" si="6"/>
        <v>29773498.858579621</v>
      </c>
      <c r="S19" s="38">
        <f t="shared" si="6"/>
        <v>34066216.854013942</v>
      </c>
      <c r="T19" s="38">
        <f t="shared" si="6"/>
        <v>38376105.721429996</v>
      </c>
      <c r="U19" s="38">
        <f t="shared" si="6"/>
        <v>42703234.14431572</v>
      </c>
      <c r="V19" s="38">
        <f t="shared" si="6"/>
        <v>47047671.08089298</v>
      </c>
      <c r="W19" s="38">
        <f t="shared" si="6"/>
        <v>51409485.765216559</v>
      </c>
      <c r="X19" s="38">
        <f t="shared" si="6"/>
        <v>66882918.015364878</v>
      </c>
      <c r="Y19" s="38">
        <f t="shared" si="6"/>
        <v>82481590.895284474</v>
      </c>
      <c r="Z19" s="38">
        <f t="shared" si="6"/>
        <v>384265396.18029565</v>
      </c>
      <c r="AA19" s="38">
        <f t="shared" si="6"/>
        <v>384987886.2287159</v>
      </c>
    </row>
    <row r="20" spans="1:27" x14ac:dyDescent="0.2">
      <c r="B20" t="s">
        <v>139</v>
      </c>
      <c r="D20" s="19">
        <f>Collections!D30</f>
        <v>0</v>
      </c>
      <c r="E20" s="19">
        <f>Collections!E30</f>
        <v>13912080</v>
      </c>
      <c r="F20" s="19">
        <f>Collections!F30</f>
        <v>13967728.320000002</v>
      </c>
      <c r="G20" s="19">
        <f>Collections!G30</f>
        <v>14023599.233280001</v>
      </c>
      <c r="H20" s="19">
        <f>Collections!H30</f>
        <v>14079693.630213121</v>
      </c>
      <c r="I20" s="19">
        <f>Collections!I30</f>
        <v>14136012.404733974</v>
      </c>
      <c r="J20" s="19">
        <f>Collections!J30</f>
        <v>14192556.45435291</v>
      </c>
      <c r="K20" s="19">
        <f>Collections!K30</f>
        <v>28161406.68017032</v>
      </c>
      <c r="L20" s="19">
        <f>Collections!L30</f>
        <v>28274052.306891002</v>
      </c>
      <c r="M20" s="19">
        <f>Collections!M30</f>
        <v>28387148.516118571</v>
      </c>
      <c r="N20" s="19">
        <f>Collections!N30</f>
        <v>28500697.110183045</v>
      </c>
      <c r="O20" s="19">
        <f>Collections!O30</f>
        <v>28614699.898623776</v>
      </c>
      <c r="P20" s="19">
        <f>Collections!P30</f>
        <v>28729158.698218271</v>
      </c>
      <c r="Q20" s="19">
        <f>Collections!Q30</f>
        <v>42756155.333011143</v>
      </c>
      <c r="R20" s="19">
        <f>Collections!R30</f>
        <v>42927179.954343192</v>
      </c>
      <c r="S20" s="19">
        <f>Collections!S30</f>
        <v>43098888.67416057</v>
      </c>
      <c r="T20" s="19">
        <f>Collections!T30</f>
        <v>43271284.228857212</v>
      </c>
      <c r="U20" s="19">
        <f>Collections!U30</f>
        <v>43444369.365772635</v>
      </c>
      <c r="V20" s="19">
        <f>Collections!V30</f>
        <v>43618146.843235731</v>
      </c>
      <c r="W20" s="19">
        <f>Collections!W30</f>
        <v>57704699.430608675</v>
      </c>
      <c r="X20" s="19">
        <f>Collections!X30</f>
        <v>57935518.228331111</v>
      </c>
      <c r="Y20" s="19">
        <f>Collections!Y30</f>
        <v>344226492.74679369</v>
      </c>
      <c r="Z20" s="19">
        <f>Collections!Z30</f>
        <v>43271284.228857212</v>
      </c>
      <c r="AA20" s="19">
        <f>Collections!AA30</f>
        <v>0</v>
      </c>
    </row>
    <row r="21" spans="1:27" x14ac:dyDescent="0.2">
      <c r="B21" t="s">
        <v>140</v>
      </c>
      <c r="D21" s="19">
        <f>MIN('Construction Costs'!D23,MAX(0,D19+D20-(SUM(Collections!$C$30:D30)*$C23)))</f>
        <v>0</v>
      </c>
      <c r="E21" s="19">
        <f>MIN('Construction Costs'!E23,MAX(0,E19+E20-(SUM(Collections!$C$30:E30)*$C23)))</f>
        <v>0</v>
      </c>
      <c r="F21" s="19">
        <f>MIN('Construction Costs'!F23,MAX(0,F19+F20-(SUM(Collections!$C$30:F30)*$C23)))</f>
        <v>40476190.476190478</v>
      </c>
      <c r="G21" s="19">
        <f>MIN('Construction Costs'!G23,MAX(0,G19+G20-(SUM(Collections!$C$30:G30)*$C23)))</f>
        <v>40577380.952380955</v>
      </c>
      <c r="H21" s="19">
        <f>MIN('Construction Costs'!H23,MAX(0,H19+H20-(SUM(Collections!$C$30:H30)*$C23)))</f>
        <v>40678824.404761903</v>
      </c>
      <c r="I21" s="19">
        <f>MIN('Construction Costs'!I23,MAX(0,I19+I20-(SUM(Collections!$C$30:I30)*$C23)))</f>
        <v>40780521.465773799</v>
      </c>
      <c r="J21" s="19">
        <f>MIN('Construction Costs'!J23,MAX(0,J19+J20-(SUM(Collections!$C$30:J30)*$C23)))</f>
        <v>13367585.739214888</v>
      </c>
      <c r="K21" s="19">
        <f>MIN('Construction Costs'!K23,MAX(0,K19+K20-(SUM(Collections!$C$30:K30)*$C23)))</f>
        <v>25345266.012153283</v>
      </c>
      <c r="L21" s="19">
        <f>MIN('Construction Costs'!L23,MAX(0,L19+L20-(SUM(Collections!$C$30:L30)*$C23)))</f>
        <v>25446647.076201905</v>
      </c>
      <c r="M21" s="19">
        <f>MIN('Construction Costs'!M23,MAX(0,M19+M20-(SUM(Collections!$C$30:M30)*$C23)))</f>
        <v>25548433.664506707</v>
      </c>
      <c r="N21" s="19">
        <f>MIN('Construction Costs'!N23,MAX(0,N19+N20-(SUM(Collections!$C$30:N30)*$C23)))</f>
        <v>25650627.399164744</v>
      </c>
      <c r="O21" s="19">
        <f>MIN('Construction Costs'!O23,MAX(0,O19+O20-(SUM(Collections!$C$30:O30)*$C23)))</f>
        <v>25753229.908761397</v>
      </c>
      <c r="P21" s="19">
        <f>MIN('Construction Costs'!P23,MAX(0,P19+P20-(SUM(Collections!$C$30:P30)*$C23)))</f>
        <v>25856242.82839644</v>
      </c>
      <c r="Q21" s="19">
        <f>MIN('Construction Costs'!Q23,MAX(0,Q19+Q20-(SUM(Collections!$C$30:Q30)*$C23)))</f>
        <v>38480539.79971002</v>
      </c>
      <c r="R21" s="19">
        <f>MIN('Construction Costs'!R23,MAX(0,R19+R20-(SUM(Collections!$C$30:R30)*$C23)))</f>
        <v>38634461.958908863</v>
      </c>
      <c r="S21" s="19">
        <f>MIN('Construction Costs'!S23,MAX(0,S19+S20-(SUM(Collections!$C$30:S30)*$C23)))</f>
        <v>38788999.806744523</v>
      </c>
      <c r="T21" s="19">
        <f>MIN('Construction Costs'!T23,MAX(0,T19+T20-(SUM(Collections!$C$30:T30)*$C23)))</f>
        <v>38944155.805971488</v>
      </c>
      <c r="U21" s="19">
        <f>MIN('Construction Costs'!U23,MAX(0,U19+U20-(SUM(Collections!$C$30:U30)*$C23)))</f>
        <v>39099932.429195374</v>
      </c>
      <c r="V21" s="19">
        <f>MIN('Construction Costs'!V23,MAX(0,V19+V20-(SUM(Collections!$C$30:V30)*$C23)))</f>
        <v>39256332.158912152</v>
      </c>
      <c r="W21" s="19">
        <f>MIN('Construction Costs'!W23,MAX(0,W19+W20-(SUM(Collections!$C$30:W30)*$C23)))</f>
        <v>42231267.180460356</v>
      </c>
      <c r="X21" s="19">
        <f>MIN('Construction Costs'!X23,MAX(0,X19+X20-(SUM(Collections!$C$30:X30)*$C23)))</f>
        <v>42336845.348411508</v>
      </c>
      <c r="Y21" s="19">
        <f>MIN('Construction Costs'!Y23,MAX(0,Y19+Y20-(SUM(Collections!$C$30:Y30)*$C23)))</f>
        <v>42442687.46178253</v>
      </c>
      <c r="Z21" s="19">
        <f>MIN('Construction Costs'!Z23,MAX(0,Z19+Z20-(SUM(Collections!$C$30:Z30)*$C23)))</f>
        <v>42548794.180436991</v>
      </c>
      <c r="AA21" s="19">
        <f>MIN('Construction Costs'!AA23,MAX(0,AA19+AA20-(SUM(Collections!$C$30:AA30)*$C23)))</f>
        <v>0</v>
      </c>
    </row>
    <row r="22" spans="1:27" x14ac:dyDescent="0.2">
      <c r="B22" t="s">
        <v>141</v>
      </c>
      <c r="D22" s="19">
        <f t="shared" ref="D22:AA22" si="7">D19+D20-D21</f>
        <v>100000000</v>
      </c>
      <c r="E22" s="19">
        <f t="shared" si="7"/>
        <v>113912080</v>
      </c>
      <c r="F22" s="19">
        <f t="shared" si="7"/>
        <v>87403617.84380953</v>
      </c>
      <c r="G22" s="19">
        <f t="shared" si="7"/>
        <v>60849836.124708578</v>
      </c>
      <c r="H22" s="19">
        <f t="shared" si="7"/>
        <v>34250705.350159802</v>
      </c>
      <c r="I22" s="19">
        <f t="shared" si="7"/>
        <v>7606196.2891199812</v>
      </c>
      <c r="J22" s="19">
        <f t="shared" si="7"/>
        <v>8431167.0042580012</v>
      </c>
      <c r="K22" s="19">
        <f t="shared" si="7"/>
        <v>11247307.672275037</v>
      </c>
      <c r="L22" s="19">
        <f t="shared" si="7"/>
        <v>14074712.902964134</v>
      </c>
      <c r="M22" s="19">
        <f t="shared" si="7"/>
        <v>16913427.754575994</v>
      </c>
      <c r="N22" s="19">
        <f t="shared" si="7"/>
        <v>19763497.465594299</v>
      </c>
      <c r="O22" s="19">
        <f t="shared" si="7"/>
        <v>22624967.455456674</v>
      </c>
      <c r="P22" s="19">
        <f t="shared" si="7"/>
        <v>25497883.325278506</v>
      </c>
      <c r="Q22" s="19">
        <f t="shared" si="7"/>
        <v>29773498.858579621</v>
      </c>
      <c r="R22" s="19">
        <f t="shared" si="7"/>
        <v>34066216.854013942</v>
      </c>
      <c r="S22" s="19">
        <f t="shared" si="7"/>
        <v>38376105.721429996</v>
      </c>
      <c r="T22" s="19">
        <f t="shared" si="7"/>
        <v>42703234.14431572</v>
      </c>
      <c r="U22" s="19">
        <f t="shared" si="7"/>
        <v>47047671.08089298</v>
      </c>
      <c r="V22" s="19">
        <f t="shared" si="7"/>
        <v>51409485.765216559</v>
      </c>
      <c r="W22" s="19">
        <f t="shared" si="7"/>
        <v>66882918.015364878</v>
      </c>
      <c r="X22" s="19">
        <f t="shared" si="7"/>
        <v>82481590.895284474</v>
      </c>
      <c r="Y22" s="19">
        <f t="shared" si="7"/>
        <v>384265396.18029565</v>
      </c>
      <c r="Z22" s="19">
        <f t="shared" si="7"/>
        <v>384987886.2287159</v>
      </c>
      <c r="AA22" s="19">
        <f t="shared" si="7"/>
        <v>384987886.2287159</v>
      </c>
    </row>
    <row r="23" spans="1:27" x14ac:dyDescent="0.2">
      <c r="B23" t="s">
        <v>142</v>
      </c>
      <c r="C23" s="24">
        <v>0.1</v>
      </c>
    </row>
  </sheetData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AC1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5" width="13" customWidth="1"/>
  </cols>
  <sheetData>
    <row r="1" spans="1:29" ht="18" x14ac:dyDescent="0.2">
      <c r="A1" s="5" t="s">
        <v>143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3" spans="1:29" x14ac:dyDescent="0.2">
      <c r="B3" s="37">
        <v>46113</v>
      </c>
      <c r="C3" s="37">
        <v>46143</v>
      </c>
      <c r="D3" s="37">
        <v>46174</v>
      </c>
      <c r="E3" s="37">
        <v>46204</v>
      </c>
      <c r="F3" s="37">
        <v>46235</v>
      </c>
      <c r="G3" s="37">
        <v>46266</v>
      </c>
      <c r="H3" s="37">
        <v>46296</v>
      </c>
      <c r="I3" s="37">
        <v>46327</v>
      </c>
      <c r="J3" s="37">
        <v>46357</v>
      </c>
      <c r="K3" s="37">
        <v>46388</v>
      </c>
      <c r="L3" s="37">
        <v>46419</v>
      </c>
      <c r="M3" s="37">
        <v>46447</v>
      </c>
      <c r="N3" s="37">
        <v>46478</v>
      </c>
      <c r="O3" s="37">
        <v>46508</v>
      </c>
      <c r="P3" s="37">
        <v>46539</v>
      </c>
      <c r="Q3" s="37">
        <v>46569</v>
      </c>
      <c r="R3" s="37">
        <v>46600</v>
      </c>
      <c r="S3" s="37">
        <v>46631</v>
      </c>
      <c r="T3" s="37">
        <v>46661</v>
      </c>
      <c r="U3" s="37">
        <v>46692</v>
      </c>
      <c r="V3" s="37">
        <v>46722</v>
      </c>
      <c r="W3" s="37">
        <v>46753</v>
      </c>
      <c r="X3" s="37">
        <v>46784</v>
      </c>
      <c r="Y3" s="37">
        <v>46813</v>
      </c>
    </row>
    <row r="5" spans="1:29" x14ac:dyDescent="0.2">
      <c r="A5" s="4" t="s">
        <v>144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9" x14ac:dyDescent="0.2">
      <c r="A6" t="s">
        <v>145</v>
      </c>
      <c r="B6" s="19">
        <f>Assumptions!$E$30*(1+Assumptions!$E$38/12)^(COLUMN()-2)</f>
        <v>450000</v>
      </c>
      <c r="C6" s="19">
        <f>Assumptions!$E$30*(1+Assumptions!$E$38/12)^(COLUMN()-2)</f>
        <v>450000</v>
      </c>
      <c r="D6" s="19">
        <f>Assumptions!$E$30*(1+Assumptions!$E$38/12)^(COLUMN()-2)</f>
        <v>450000</v>
      </c>
      <c r="E6" s="19">
        <f>Assumptions!$E$30*(1+Assumptions!$E$38/12)^(COLUMN()-2)</f>
        <v>450000</v>
      </c>
      <c r="F6" s="19">
        <f>Assumptions!$E$30*(1+Assumptions!$E$38/12)^(COLUMN()-2)</f>
        <v>450000</v>
      </c>
      <c r="G6" s="19">
        <f>Assumptions!$E$30*(1+Assumptions!$E$38/12)^(COLUMN()-2)</f>
        <v>450000</v>
      </c>
      <c r="H6" s="19">
        <f>Assumptions!$E$30*(1+Assumptions!$E$38/12)^(COLUMN()-2)</f>
        <v>450000</v>
      </c>
      <c r="I6" s="19">
        <f>Assumptions!$E$30*(1+Assumptions!$E$38/12)^(COLUMN()-2)</f>
        <v>450000</v>
      </c>
      <c r="J6" s="19">
        <f>Assumptions!$E$30*(1+Assumptions!$E$38/12)^(COLUMN()-2)</f>
        <v>450000</v>
      </c>
      <c r="K6" s="19">
        <f>Assumptions!$E$30*(1+Assumptions!$E$38/12)^(COLUMN()-2)</f>
        <v>450000</v>
      </c>
      <c r="L6" s="19">
        <f>Assumptions!$E$30*(1+Assumptions!$E$38/12)^(COLUMN()-2)</f>
        <v>450000</v>
      </c>
      <c r="M6" s="19">
        <f>Assumptions!$E$30*(1+Assumptions!$E$38/12)^(COLUMN()-2)</f>
        <v>450000</v>
      </c>
      <c r="N6" s="19">
        <f>Assumptions!$E$30*(1+Assumptions!$E$38/12)^(COLUMN()-2)</f>
        <v>450000</v>
      </c>
      <c r="O6" s="19">
        <f>Assumptions!$E$30*(1+Assumptions!$E$38/12)^(COLUMN()-2)</f>
        <v>450000</v>
      </c>
      <c r="P6" s="19">
        <f>Assumptions!$E$30*(1+Assumptions!$E$38/12)^(COLUMN()-2)</f>
        <v>450000</v>
      </c>
      <c r="Q6" s="19">
        <f>Assumptions!$E$30*(1+Assumptions!$E$38/12)^(COLUMN()-2)</f>
        <v>450000</v>
      </c>
      <c r="R6" s="19">
        <f>Assumptions!$E$30*(1+Assumptions!$E$38/12)^(COLUMN()-2)</f>
        <v>450000</v>
      </c>
      <c r="S6" s="19">
        <f>Assumptions!$E$30*(1+Assumptions!$E$38/12)^(COLUMN()-2)</f>
        <v>450000</v>
      </c>
      <c r="T6" s="19">
        <f>Assumptions!$E$30*(1+Assumptions!$E$38/12)^(COLUMN()-2)</f>
        <v>450000</v>
      </c>
      <c r="U6" s="19">
        <f>Assumptions!$E$30*(1+Assumptions!$E$38/12)^(COLUMN()-2)</f>
        <v>450000</v>
      </c>
      <c r="V6" s="19">
        <f>Assumptions!$E$30*(1+Assumptions!$E$38/12)^(COLUMN()-2)</f>
        <v>450000</v>
      </c>
      <c r="W6" s="19">
        <f>Assumptions!$E$30*(1+Assumptions!$E$38/12)^(COLUMN()-2)</f>
        <v>450000</v>
      </c>
      <c r="X6" s="19">
        <f>Assumptions!$E$30*(1+Assumptions!$E$38/12)^(COLUMN()-2)</f>
        <v>450000</v>
      </c>
      <c r="Y6" s="19">
        <f>Assumptions!$E$30*(1+Assumptions!$E$38/12)^(COLUMN()-2)</f>
        <v>450000</v>
      </c>
    </row>
    <row r="7" spans="1:29" x14ac:dyDescent="0.2">
      <c r="A7" t="s">
        <v>146</v>
      </c>
      <c r="B7" s="19">
        <f>Assumptions!$E$31*(1+Assumptions!$E$37/12)^(COLUMN()-2)</f>
        <v>750000</v>
      </c>
      <c r="C7" s="19">
        <f>Assumptions!$E$31*(1+Assumptions!$E$37/12)^(COLUMN()-2)</f>
        <v>750000</v>
      </c>
      <c r="D7" s="19">
        <f>Assumptions!$E$31*(1+Assumptions!$E$37/12)^(COLUMN()-2)</f>
        <v>750000</v>
      </c>
      <c r="E7" s="19">
        <f>Assumptions!$E$31*(1+Assumptions!$E$37/12)^(COLUMN()-2)</f>
        <v>750000</v>
      </c>
      <c r="F7" s="19">
        <f>Assumptions!$E$31*(1+Assumptions!$E$37/12)^(COLUMN()-2)</f>
        <v>750000</v>
      </c>
      <c r="G7" s="19">
        <f>Assumptions!$E$31*(1+Assumptions!$E$37/12)^(COLUMN()-2)</f>
        <v>750000</v>
      </c>
      <c r="H7" s="19">
        <f>Assumptions!$E$31*(1+Assumptions!$E$37/12)^(COLUMN()-2)</f>
        <v>750000</v>
      </c>
      <c r="I7" s="19">
        <f>Assumptions!$E$31*(1+Assumptions!$E$37/12)^(COLUMN()-2)</f>
        <v>750000</v>
      </c>
      <c r="J7" s="19">
        <f>Assumptions!$E$31*(1+Assumptions!$E$37/12)^(COLUMN()-2)</f>
        <v>750000</v>
      </c>
      <c r="K7" s="19">
        <f>Assumptions!$E$31*(1+Assumptions!$E$37/12)^(COLUMN()-2)</f>
        <v>750000</v>
      </c>
      <c r="L7" s="19">
        <f>Assumptions!$E$31*(1+Assumptions!$E$37/12)^(COLUMN()-2)</f>
        <v>750000</v>
      </c>
      <c r="M7" s="19">
        <f>Assumptions!$E$31*(1+Assumptions!$E$37/12)^(COLUMN()-2)</f>
        <v>750000</v>
      </c>
      <c r="N7" s="19">
        <f>Assumptions!$E$31*(1+Assumptions!$E$37/12)^(COLUMN()-2)</f>
        <v>750000</v>
      </c>
      <c r="O7" s="19">
        <f>Assumptions!$E$31*(1+Assumptions!$E$37/12)^(COLUMN()-2)</f>
        <v>750000</v>
      </c>
      <c r="P7" s="19">
        <f>Assumptions!$E$31*(1+Assumptions!$E$37/12)^(COLUMN()-2)</f>
        <v>750000</v>
      </c>
      <c r="Q7" s="19">
        <f>Assumptions!$E$31*(1+Assumptions!$E$37/12)^(COLUMN()-2)</f>
        <v>750000</v>
      </c>
      <c r="R7" s="19">
        <f>Assumptions!$E$31*(1+Assumptions!$E$37/12)^(COLUMN()-2)</f>
        <v>750000</v>
      </c>
      <c r="S7" s="19">
        <f>Assumptions!$E$31*(1+Assumptions!$E$37/12)^(COLUMN()-2)</f>
        <v>750000</v>
      </c>
      <c r="T7" s="19">
        <f>Assumptions!$E$31*(1+Assumptions!$E$37/12)^(COLUMN()-2)</f>
        <v>750000</v>
      </c>
      <c r="U7" s="19">
        <f>Assumptions!$E$31*(1+Assumptions!$E$37/12)^(COLUMN()-2)</f>
        <v>750000</v>
      </c>
      <c r="V7" s="19">
        <f>Assumptions!$E$31*(1+Assumptions!$E$37/12)^(COLUMN()-2)</f>
        <v>750000</v>
      </c>
      <c r="W7" s="19">
        <f>Assumptions!$E$31*(1+Assumptions!$E$37/12)^(COLUMN()-2)</f>
        <v>750000</v>
      </c>
      <c r="X7" s="19">
        <f>Assumptions!$E$31*(1+Assumptions!$E$37/12)^(COLUMN()-2)</f>
        <v>750000</v>
      </c>
      <c r="Y7" s="19">
        <f>Assumptions!$E$31*(1+Assumptions!$E$37/12)^(COLUMN()-2)</f>
        <v>750000</v>
      </c>
    </row>
    <row r="8" spans="1:29" x14ac:dyDescent="0.2">
      <c r="A8" t="s">
        <v>147</v>
      </c>
      <c r="B8" s="19">
        <f>Assumptions!$E$32*(1+Assumptions!$E$38/12)^(COLUMN()-2)</f>
        <v>0.05</v>
      </c>
      <c r="C8" s="19">
        <f>Assumptions!$E$32*(1+Assumptions!$E$38/12)^(COLUMN()-2)</f>
        <v>0.05</v>
      </c>
      <c r="D8" s="19">
        <f>Assumptions!$E$32*(1+Assumptions!$E$38/12)^(COLUMN()-2)</f>
        <v>0.05</v>
      </c>
      <c r="E8" s="19">
        <f>Assumptions!$E$32*(1+Assumptions!$E$38/12)^(COLUMN()-2)</f>
        <v>0.05</v>
      </c>
      <c r="F8" s="19">
        <f>Assumptions!$E$32*(1+Assumptions!$E$38/12)^(COLUMN()-2)</f>
        <v>0.05</v>
      </c>
      <c r="G8" s="19">
        <f>Assumptions!$E$32*(1+Assumptions!$E$38/12)^(COLUMN()-2)</f>
        <v>0.05</v>
      </c>
      <c r="H8" s="19">
        <f>Assumptions!$E$32*(1+Assumptions!$E$38/12)^(COLUMN()-2)</f>
        <v>0.05</v>
      </c>
      <c r="I8" s="19">
        <f>Assumptions!$E$32*(1+Assumptions!$E$38/12)^(COLUMN()-2)</f>
        <v>0.05</v>
      </c>
      <c r="J8" s="19">
        <f>Assumptions!$E$32*(1+Assumptions!$E$38/12)^(COLUMN()-2)</f>
        <v>0.05</v>
      </c>
      <c r="K8" s="19">
        <f>Assumptions!$E$32*(1+Assumptions!$E$38/12)^(COLUMN()-2)</f>
        <v>0.05</v>
      </c>
      <c r="L8" s="19">
        <f>Assumptions!$E$32*(1+Assumptions!$E$38/12)^(COLUMN()-2)</f>
        <v>0.05</v>
      </c>
      <c r="M8" s="19">
        <f>Assumptions!$E$32*(1+Assumptions!$E$38/12)^(COLUMN()-2)</f>
        <v>0.05</v>
      </c>
      <c r="N8" s="19">
        <f>Assumptions!$E$32*(1+Assumptions!$E$38/12)^(COLUMN()-2)</f>
        <v>0.05</v>
      </c>
      <c r="O8" s="19">
        <f>Assumptions!$E$32*(1+Assumptions!$E$38/12)^(COLUMN()-2)</f>
        <v>0.05</v>
      </c>
      <c r="P8" s="19">
        <f>Assumptions!$E$32*(1+Assumptions!$E$38/12)^(COLUMN()-2)</f>
        <v>0.05</v>
      </c>
      <c r="Q8" s="19">
        <f>Assumptions!$E$32*(1+Assumptions!$E$38/12)^(COLUMN()-2)</f>
        <v>0.05</v>
      </c>
      <c r="R8" s="19">
        <f>Assumptions!$E$32*(1+Assumptions!$E$38/12)^(COLUMN()-2)</f>
        <v>0.05</v>
      </c>
      <c r="S8" s="19">
        <f>Assumptions!$E$32*(1+Assumptions!$E$38/12)^(COLUMN()-2)</f>
        <v>0.05</v>
      </c>
      <c r="T8" s="19">
        <f>Assumptions!$E$32*(1+Assumptions!$E$38/12)^(COLUMN()-2)</f>
        <v>0.05</v>
      </c>
      <c r="U8" s="19">
        <f>Assumptions!$E$32*(1+Assumptions!$E$38/12)^(COLUMN()-2)</f>
        <v>0.05</v>
      </c>
      <c r="V8" s="19">
        <f>Assumptions!$E$32*(1+Assumptions!$E$38/12)^(COLUMN()-2)</f>
        <v>0.05</v>
      </c>
      <c r="W8" s="19">
        <f>Assumptions!$E$32*(1+Assumptions!$E$38/12)^(COLUMN()-2)</f>
        <v>0.05</v>
      </c>
      <c r="X8" s="19">
        <f>Assumptions!$E$32*(1+Assumptions!$E$38/12)^(COLUMN()-2)</f>
        <v>0.05</v>
      </c>
      <c r="Y8" s="19">
        <f>Assumptions!$E$32*(1+Assumptions!$E$38/12)^(COLUMN()-2)</f>
        <v>0.05</v>
      </c>
    </row>
    <row r="9" spans="1:29" x14ac:dyDescent="0.2">
      <c r="A9" t="s">
        <v>148</v>
      </c>
      <c r="B9" s="19">
        <f>Assumptions!$E$33*(1+Assumptions!$E$38/12)^(COLUMN()-2)</f>
        <v>0.03</v>
      </c>
      <c r="C9" s="19">
        <f>Assumptions!$E$33*(1+Assumptions!$E$38/12)^(COLUMN()-2)</f>
        <v>0.03</v>
      </c>
      <c r="D9" s="19">
        <f>Assumptions!$E$33*(1+Assumptions!$E$38/12)^(COLUMN()-2)</f>
        <v>0.03</v>
      </c>
      <c r="E9" s="19">
        <f>Assumptions!$E$33*(1+Assumptions!$E$38/12)^(COLUMN()-2)</f>
        <v>0.03</v>
      </c>
      <c r="F9" s="19">
        <f>Assumptions!$E$33*(1+Assumptions!$E$38/12)^(COLUMN()-2)</f>
        <v>0.03</v>
      </c>
      <c r="G9" s="19">
        <f>Assumptions!$E$33*(1+Assumptions!$E$38/12)^(COLUMN()-2)</f>
        <v>0.03</v>
      </c>
      <c r="H9" s="19">
        <f>Assumptions!$E$33*(1+Assumptions!$E$38/12)^(COLUMN()-2)</f>
        <v>0.03</v>
      </c>
      <c r="I9" s="19">
        <f>Assumptions!$E$33*(1+Assumptions!$E$38/12)^(COLUMN()-2)</f>
        <v>0.03</v>
      </c>
      <c r="J9" s="19">
        <f>Assumptions!$E$33*(1+Assumptions!$E$38/12)^(COLUMN()-2)</f>
        <v>0.03</v>
      </c>
      <c r="K9" s="19">
        <f>Assumptions!$E$33*(1+Assumptions!$E$38/12)^(COLUMN()-2)</f>
        <v>0.03</v>
      </c>
      <c r="L9" s="19">
        <f>Assumptions!$E$33*(1+Assumptions!$E$38/12)^(COLUMN()-2)</f>
        <v>0.03</v>
      </c>
      <c r="M9" s="19">
        <f>Assumptions!$E$33*(1+Assumptions!$E$38/12)^(COLUMN()-2)</f>
        <v>0.03</v>
      </c>
      <c r="N9" s="19">
        <f>Assumptions!$E$33*(1+Assumptions!$E$38/12)^(COLUMN()-2)</f>
        <v>0.03</v>
      </c>
      <c r="O9" s="19">
        <f>Assumptions!$E$33*(1+Assumptions!$E$38/12)^(COLUMN()-2)</f>
        <v>0.03</v>
      </c>
      <c r="P9" s="19">
        <f>Assumptions!$E$33*(1+Assumptions!$E$38/12)^(COLUMN()-2)</f>
        <v>0.03</v>
      </c>
      <c r="Q9" s="19">
        <f>Assumptions!$E$33*(1+Assumptions!$E$38/12)^(COLUMN()-2)</f>
        <v>0.03</v>
      </c>
      <c r="R9" s="19">
        <f>Assumptions!$E$33*(1+Assumptions!$E$38/12)^(COLUMN()-2)</f>
        <v>0.03</v>
      </c>
      <c r="S9" s="19">
        <f>Assumptions!$E$33*(1+Assumptions!$E$38/12)^(COLUMN()-2)</f>
        <v>0.03</v>
      </c>
      <c r="T9" s="19">
        <f>Assumptions!$E$33*(1+Assumptions!$E$38/12)^(COLUMN()-2)</f>
        <v>0.03</v>
      </c>
      <c r="U9" s="19">
        <f>Assumptions!$E$33*(1+Assumptions!$E$38/12)^(COLUMN()-2)</f>
        <v>0.03</v>
      </c>
      <c r="V9" s="19">
        <f>Assumptions!$E$33*(1+Assumptions!$E$38/12)^(COLUMN()-2)</f>
        <v>0.03</v>
      </c>
      <c r="W9" s="19">
        <f>Assumptions!$E$33*(1+Assumptions!$E$38/12)^(COLUMN()-2)</f>
        <v>0.03</v>
      </c>
      <c r="X9" s="19">
        <f>Assumptions!$E$33*(1+Assumptions!$E$38/12)^(COLUMN()-2)</f>
        <v>0.03</v>
      </c>
      <c r="Y9" s="19">
        <f>Assumptions!$E$33*(1+Assumptions!$E$38/12)^(COLUMN()-2)</f>
        <v>0.03</v>
      </c>
    </row>
    <row r="10" spans="1:29" x14ac:dyDescent="0.2">
      <c r="A10" t="s">
        <v>149</v>
      </c>
      <c r="B10" s="19">
        <f>Assumptions!$E$34*(1+Assumptions!$E$38/12)^(COLUMN()-2)</f>
        <v>0</v>
      </c>
      <c r="C10" s="19">
        <f>Assumptions!$E$34*(1+Assumptions!$E$38/12)^(COLUMN()-2)</f>
        <v>0</v>
      </c>
      <c r="D10" s="19">
        <f>Assumptions!$E$34*(1+Assumptions!$E$38/12)^(COLUMN()-2)</f>
        <v>0</v>
      </c>
      <c r="E10" s="19">
        <f>Assumptions!$E$34*(1+Assumptions!$E$38/12)^(COLUMN()-2)</f>
        <v>0</v>
      </c>
      <c r="F10" s="19">
        <f>Assumptions!$E$34*(1+Assumptions!$E$38/12)^(COLUMN()-2)</f>
        <v>0</v>
      </c>
      <c r="G10" s="19">
        <f>Assumptions!$E$34*(1+Assumptions!$E$38/12)^(COLUMN()-2)</f>
        <v>0</v>
      </c>
      <c r="H10" s="19">
        <f>Assumptions!$E$34*(1+Assumptions!$E$38/12)^(COLUMN()-2)</f>
        <v>0</v>
      </c>
      <c r="I10" s="19">
        <f>Assumptions!$E$34*(1+Assumptions!$E$38/12)^(COLUMN()-2)</f>
        <v>0</v>
      </c>
      <c r="J10" s="19">
        <f>Assumptions!$E$34*(1+Assumptions!$E$38/12)^(COLUMN()-2)</f>
        <v>0</v>
      </c>
      <c r="K10" s="19">
        <f>Assumptions!$E$34*(1+Assumptions!$E$38/12)^(COLUMN()-2)</f>
        <v>0</v>
      </c>
      <c r="L10" s="19">
        <f>Assumptions!$E$34*(1+Assumptions!$E$38/12)^(COLUMN()-2)</f>
        <v>0</v>
      </c>
      <c r="M10" s="19">
        <f>Assumptions!$E$34*(1+Assumptions!$E$38/12)^(COLUMN()-2)</f>
        <v>0</v>
      </c>
      <c r="N10" s="19">
        <f>Assumptions!$E$34*(1+Assumptions!$E$38/12)^(COLUMN()-2)</f>
        <v>0</v>
      </c>
      <c r="O10" s="19">
        <f>Assumptions!$E$34*(1+Assumptions!$E$38/12)^(COLUMN()-2)</f>
        <v>0</v>
      </c>
      <c r="P10" s="19">
        <f>Assumptions!$E$34*(1+Assumptions!$E$38/12)^(COLUMN()-2)</f>
        <v>0</v>
      </c>
      <c r="Q10" s="19">
        <f>Assumptions!$E$34*(1+Assumptions!$E$38/12)^(COLUMN()-2)</f>
        <v>0</v>
      </c>
      <c r="R10" s="19">
        <f>Assumptions!$E$34*(1+Assumptions!$E$38/12)^(COLUMN()-2)</f>
        <v>0</v>
      </c>
      <c r="S10" s="19">
        <f>Assumptions!$E$34*(1+Assumptions!$E$38/12)^(COLUMN()-2)</f>
        <v>0</v>
      </c>
      <c r="T10" s="19">
        <f>Assumptions!$E$34*(1+Assumptions!$E$38/12)^(COLUMN()-2)</f>
        <v>0</v>
      </c>
      <c r="U10" s="19">
        <f>Assumptions!$E$34*(1+Assumptions!$E$38/12)^(COLUMN()-2)</f>
        <v>0</v>
      </c>
      <c r="V10" s="19">
        <f>Assumptions!$E$34*(1+Assumptions!$E$38/12)^(COLUMN()-2)</f>
        <v>0</v>
      </c>
      <c r="W10" s="19">
        <f>Assumptions!$E$34*(1+Assumptions!$E$38/12)^(COLUMN()-2)</f>
        <v>0</v>
      </c>
      <c r="X10" s="19">
        <f>Assumptions!$E$34*(1+Assumptions!$E$38/12)^(COLUMN()-2)</f>
        <v>0</v>
      </c>
      <c r="Y10" s="19">
        <f>Assumptions!$E$34*(1+Assumptions!$E$38/12)^(COLUMN()-2)</f>
        <v>0</v>
      </c>
    </row>
    <row r="11" spans="1:29" x14ac:dyDescent="0.2">
      <c r="A11" t="s">
        <v>150</v>
      </c>
      <c r="B11" s="19">
        <f>Assumptions!$E$35*(1+Assumptions!$E$38/12)^(COLUMN()-2)</f>
        <v>0</v>
      </c>
      <c r="C11" s="19">
        <f>Assumptions!$E$35*(1+Assumptions!$E$38/12)^(COLUMN()-2)</f>
        <v>0</v>
      </c>
      <c r="D11" s="19">
        <f>Assumptions!$E$35*(1+Assumptions!$E$38/12)^(COLUMN()-2)</f>
        <v>0</v>
      </c>
      <c r="E11" s="19">
        <f>Assumptions!$E$35*(1+Assumptions!$E$38/12)^(COLUMN()-2)</f>
        <v>0</v>
      </c>
      <c r="F11" s="19">
        <f>Assumptions!$E$35*(1+Assumptions!$E$38/12)^(COLUMN()-2)</f>
        <v>0</v>
      </c>
      <c r="G11" s="19">
        <f>Assumptions!$E$35*(1+Assumptions!$E$38/12)^(COLUMN()-2)</f>
        <v>0</v>
      </c>
      <c r="H11" s="19">
        <f>Assumptions!$E$35*(1+Assumptions!$E$38/12)^(COLUMN()-2)</f>
        <v>0</v>
      </c>
      <c r="I11" s="19">
        <f>Assumptions!$E$35*(1+Assumptions!$E$38/12)^(COLUMN()-2)</f>
        <v>0</v>
      </c>
      <c r="J11" s="19">
        <f>Assumptions!$E$35*(1+Assumptions!$E$38/12)^(COLUMN()-2)</f>
        <v>0</v>
      </c>
      <c r="K11" s="19">
        <f>Assumptions!$E$35*(1+Assumptions!$E$38/12)^(COLUMN()-2)</f>
        <v>0</v>
      </c>
      <c r="L11" s="19">
        <f>Assumptions!$E$35*(1+Assumptions!$E$38/12)^(COLUMN()-2)</f>
        <v>0</v>
      </c>
      <c r="M11" s="19">
        <f>Assumptions!$E$35*(1+Assumptions!$E$38/12)^(COLUMN()-2)</f>
        <v>0</v>
      </c>
      <c r="N11" s="19">
        <f>Assumptions!$E$35*(1+Assumptions!$E$38/12)^(COLUMN()-2)</f>
        <v>0</v>
      </c>
      <c r="O11" s="19">
        <f>Assumptions!$E$35*(1+Assumptions!$E$38/12)^(COLUMN()-2)</f>
        <v>0</v>
      </c>
      <c r="P11" s="19">
        <f>Assumptions!$E$35*(1+Assumptions!$E$38/12)^(COLUMN()-2)</f>
        <v>0</v>
      </c>
      <c r="Q11" s="19">
        <f>Assumptions!$E$35*(1+Assumptions!$E$38/12)^(COLUMN()-2)</f>
        <v>0</v>
      </c>
      <c r="R11" s="19">
        <f>Assumptions!$E$35*(1+Assumptions!$E$38/12)^(COLUMN()-2)</f>
        <v>0</v>
      </c>
      <c r="S11" s="19">
        <f>Assumptions!$E$35*(1+Assumptions!$E$38/12)^(COLUMN()-2)</f>
        <v>0</v>
      </c>
      <c r="T11" s="19">
        <f>Assumptions!$E$35*(1+Assumptions!$E$38/12)^(COLUMN()-2)</f>
        <v>0</v>
      </c>
      <c r="U11" s="19">
        <f>Assumptions!$E$35*(1+Assumptions!$E$38/12)^(COLUMN()-2)</f>
        <v>0</v>
      </c>
      <c r="V11" s="19">
        <f>Assumptions!$E$35*(1+Assumptions!$E$38/12)^(COLUMN()-2)</f>
        <v>0</v>
      </c>
      <c r="W11" s="19">
        <f>Assumptions!$E$35*(1+Assumptions!$E$38/12)^(COLUMN()-2)</f>
        <v>0</v>
      </c>
      <c r="X11" s="19">
        <f>Assumptions!$E$35*(1+Assumptions!$E$38/12)^(COLUMN()-2)</f>
        <v>0</v>
      </c>
      <c r="Y11" s="19">
        <f>Assumptions!$E$35*(1+Assumptions!$E$38/12)^(COLUMN()-2)</f>
        <v>0</v>
      </c>
    </row>
    <row r="12" spans="1:29" x14ac:dyDescent="0.2">
      <c r="A12" t="s">
        <v>151</v>
      </c>
      <c r="B12" s="19">
        <f>Assumptions!$E$36*(1+Assumptions!$E$38/12)^(COLUMN()-2)</f>
        <v>0</v>
      </c>
      <c r="C12" s="19">
        <f>Assumptions!$E$36*(1+Assumptions!$E$38/12)^(COLUMN()-2)</f>
        <v>0</v>
      </c>
      <c r="D12" s="19">
        <f>Assumptions!$E$36*(1+Assumptions!$E$38/12)^(COLUMN()-2)</f>
        <v>0</v>
      </c>
      <c r="E12" s="19">
        <f>Assumptions!$E$36*(1+Assumptions!$E$38/12)^(COLUMN()-2)</f>
        <v>0</v>
      </c>
      <c r="F12" s="19">
        <f>Assumptions!$E$36*(1+Assumptions!$E$38/12)^(COLUMN()-2)</f>
        <v>0</v>
      </c>
      <c r="G12" s="19">
        <f>Assumptions!$E$36*(1+Assumptions!$E$38/12)^(COLUMN()-2)</f>
        <v>0</v>
      </c>
      <c r="H12" s="19">
        <f>Assumptions!$E$36*(1+Assumptions!$E$38/12)^(COLUMN()-2)</f>
        <v>0</v>
      </c>
      <c r="I12" s="19">
        <f>Assumptions!$E$36*(1+Assumptions!$E$38/12)^(COLUMN()-2)</f>
        <v>0</v>
      </c>
      <c r="J12" s="19">
        <f>Assumptions!$E$36*(1+Assumptions!$E$38/12)^(COLUMN()-2)</f>
        <v>0</v>
      </c>
      <c r="K12" s="19">
        <f>Assumptions!$E$36*(1+Assumptions!$E$38/12)^(COLUMN()-2)</f>
        <v>0</v>
      </c>
      <c r="L12" s="19">
        <f>Assumptions!$E$36*(1+Assumptions!$E$38/12)^(COLUMN()-2)</f>
        <v>0</v>
      </c>
      <c r="M12" s="19">
        <f>Assumptions!$E$36*(1+Assumptions!$E$38/12)^(COLUMN()-2)</f>
        <v>0</v>
      </c>
      <c r="N12" s="19">
        <f>Assumptions!$E$36*(1+Assumptions!$E$38/12)^(COLUMN()-2)</f>
        <v>0</v>
      </c>
      <c r="O12" s="19">
        <f>Assumptions!$E$36*(1+Assumptions!$E$38/12)^(COLUMN()-2)</f>
        <v>0</v>
      </c>
      <c r="P12" s="19">
        <f>Assumptions!$E$36*(1+Assumptions!$E$38/12)^(COLUMN()-2)</f>
        <v>0</v>
      </c>
      <c r="Q12" s="19">
        <f>Assumptions!$E$36*(1+Assumptions!$E$38/12)^(COLUMN()-2)</f>
        <v>0</v>
      </c>
      <c r="R12" s="19">
        <f>Assumptions!$E$36*(1+Assumptions!$E$38/12)^(COLUMN()-2)</f>
        <v>0</v>
      </c>
      <c r="S12" s="19">
        <f>Assumptions!$E$36*(1+Assumptions!$E$38/12)^(COLUMN()-2)</f>
        <v>0</v>
      </c>
      <c r="T12" s="19">
        <f>Assumptions!$E$36*(1+Assumptions!$E$38/12)^(COLUMN()-2)</f>
        <v>0</v>
      </c>
      <c r="U12" s="19">
        <f>Assumptions!$E$36*(1+Assumptions!$E$38/12)^(COLUMN()-2)</f>
        <v>0</v>
      </c>
      <c r="V12" s="19">
        <f>Assumptions!$E$36*(1+Assumptions!$E$38/12)^(COLUMN()-2)</f>
        <v>0</v>
      </c>
      <c r="W12" s="19">
        <f>Assumptions!$E$36*(1+Assumptions!$E$38/12)^(COLUMN()-2)</f>
        <v>0</v>
      </c>
      <c r="X12" s="19">
        <f>Assumptions!$E$36*(1+Assumptions!$E$38/12)^(COLUMN()-2)</f>
        <v>0</v>
      </c>
      <c r="Y12" s="19">
        <f>Assumptions!$E$36*(1+Assumptions!$E$38/12)^(COLUMN()-2)</f>
        <v>0</v>
      </c>
    </row>
    <row r="13" spans="1:29" x14ac:dyDescent="0.2">
      <c r="A13" s="25" t="s">
        <v>152</v>
      </c>
      <c r="B13" s="27">
        <f t="shared" ref="B13:Y13" si="0">SUM(B6:B12)</f>
        <v>1200000.08</v>
      </c>
      <c r="C13" s="27">
        <f t="shared" si="0"/>
        <v>1200000.08</v>
      </c>
      <c r="D13" s="27">
        <f t="shared" si="0"/>
        <v>1200000.08</v>
      </c>
      <c r="E13" s="27">
        <f t="shared" si="0"/>
        <v>1200000.08</v>
      </c>
      <c r="F13" s="27">
        <f t="shared" si="0"/>
        <v>1200000.08</v>
      </c>
      <c r="G13" s="27">
        <f t="shared" si="0"/>
        <v>1200000.08</v>
      </c>
      <c r="H13" s="27">
        <f t="shared" si="0"/>
        <v>1200000.08</v>
      </c>
      <c r="I13" s="27">
        <f t="shared" si="0"/>
        <v>1200000.08</v>
      </c>
      <c r="J13" s="27">
        <f t="shared" si="0"/>
        <v>1200000.08</v>
      </c>
      <c r="K13" s="27">
        <f t="shared" si="0"/>
        <v>1200000.08</v>
      </c>
      <c r="L13" s="27">
        <f t="shared" si="0"/>
        <v>1200000.08</v>
      </c>
      <c r="M13" s="27">
        <f t="shared" si="0"/>
        <v>1200000.08</v>
      </c>
      <c r="N13" s="27">
        <f t="shared" si="0"/>
        <v>1200000.08</v>
      </c>
      <c r="O13" s="27">
        <f t="shared" si="0"/>
        <v>1200000.08</v>
      </c>
      <c r="P13" s="27">
        <f t="shared" si="0"/>
        <v>1200000.08</v>
      </c>
      <c r="Q13" s="27">
        <f t="shared" si="0"/>
        <v>1200000.08</v>
      </c>
      <c r="R13" s="27">
        <f t="shared" si="0"/>
        <v>1200000.08</v>
      </c>
      <c r="S13" s="27">
        <f t="shared" si="0"/>
        <v>1200000.08</v>
      </c>
      <c r="T13" s="27">
        <f t="shared" si="0"/>
        <v>1200000.08</v>
      </c>
      <c r="U13" s="27">
        <f t="shared" si="0"/>
        <v>1200000.08</v>
      </c>
      <c r="V13" s="27">
        <f t="shared" si="0"/>
        <v>1200000.08</v>
      </c>
      <c r="W13" s="27">
        <f t="shared" si="0"/>
        <v>1200000.08</v>
      </c>
      <c r="X13" s="27">
        <f t="shared" si="0"/>
        <v>1200000.08</v>
      </c>
      <c r="Y13" s="27">
        <f t="shared" si="0"/>
        <v>1200000.08</v>
      </c>
    </row>
  </sheetData>
  <mergeCells count="2">
    <mergeCell ref="A1:AC1"/>
    <mergeCell ref="A5:Z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</sheetPr>
  <dimension ref="A1:AD39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640625" defaultRowHeight="15" customHeight="1" x14ac:dyDescent="0.2"/>
  <cols>
    <col min="1" max="1" width="24" customWidth="1"/>
    <col min="2" max="2" width="22" customWidth="1"/>
    <col min="3" max="3" width="14" customWidth="1"/>
    <col min="4" max="27" width="13" customWidth="1"/>
  </cols>
  <sheetData>
    <row r="1" spans="1:30" ht="18" x14ac:dyDescent="0.2">
      <c r="A1" s="5" t="s">
        <v>153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3" spans="1:30" x14ac:dyDescent="0.2">
      <c r="A3" s="9" t="s">
        <v>105</v>
      </c>
      <c r="B3" s="9" t="s">
        <v>106</v>
      </c>
      <c r="C3" s="9" t="s">
        <v>154</v>
      </c>
      <c r="D3" s="37">
        <v>46113</v>
      </c>
      <c r="E3" s="37">
        <v>46143</v>
      </c>
      <c r="F3" s="37">
        <v>46174</v>
      </c>
      <c r="G3" s="37">
        <v>46204</v>
      </c>
      <c r="H3" s="37">
        <v>46235</v>
      </c>
      <c r="I3" s="37">
        <v>46266</v>
      </c>
      <c r="J3" s="37">
        <v>46296</v>
      </c>
      <c r="K3" s="37">
        <v>46327</v>
      </c>
      <c r="L3" s="37">
        <v>46357</v>
      </c>
      <c r="M3" s="37">
        <v>46388</v>
      </c>
      <c r="N3" s="37">
        <v>46419</v>
      </c>
      <c r="O3" s="37">
        <v>46447</v>
      </c>
      <c r="P3" s="37">
        <v>46478</v>
      </c>
      <c r="Q3" s="37">
        <v>46508</v>
      </c>
      <c r="R3" s="37">
        <v>46539</v>
      </c>
      <c r="S3" s="37">
        <v>46569</v>
      </c>
      <c r="T3" s="37">
        <v>46600</v>
      </c>
      <c r="U3" s="37">
        <v>46631</v>
      </c>
      <c r="V3" s="37">
        <v>46661</v>
      </c>
      <c r="W3" s="37">
        <v>46692</v>
      </c>
      <c r="X3" s="37">
        <v>46722</v>
      </c>
      <c r="Y3" s="37">
        <v>46753</v>
      </c>
      <c r="Z3" s="37">
        <v>46784</v>
      </c>
      <c r="AA3" s="37">
        <v>46813</v>
      </c>
    </row>
    <row r="4" spans="1:30" x14ac:dyDescent="0.2">
      <c r="A4" s="30" t="s">
        <v>95</v>
      </c>
      <c r="B4" s="30" t="s">
        <v>138</v>
      </c>
      <c r="C4" s="38">
        <f>'Project Database'!$K$4</f>
        <v>220000000</v>
      </c>
      <c r="D4" s="38">
        <f>$C4</f>
        <v>220000000</v>
      </c>
      <c r="E4" s="38">
        <f t="shared" ref="E4:AA4" si="0">D10</f>
        <v>220000000</v>
      </c>
      <c r="F4" s="38">
        <f t="shared" si="0"/>
        <v>220000000</v>
      </c>
      <c r="G4" s="38">
        <f t="shared" si="0"/>
        <v>220000000</v>
      </c>
      <c r="H4" s="38">
        <f t="shared" si="0"/>
        <v>220000000</v>
      </c>
      <c r="I4" s="38">
        <f t="shared" si="0"/>
        <v>220000000</v>
      </c>
      <c r="J4" s="38">
        <f t="shared" si="0"/>
        <v>220000000</v>
      </c>
      <c r="K4" s="38">
        <f t="shared" si="0"/>
        <v>220000000</v>
      </c>
      <c r="L4" s="38">
        <f t="shared" si="0"/>
        <v>220000000</v>
      </c>
      <c r="M4" s="38">
        <f t="shared" si="0"/>
        <v>220000000</v>
      </c>
      <c r="N4" s="38">
        <f t="shared" si="0"/>
        <v>220000000</v>
      </c>
      <c r="O4" s="38">
        <f t="shared" si="0"/>
        <v>220000000</v>
      </c>
      <c r="P4" s="38">
        <f t="shared" si="0"/>
        <v>220000000</v>
      </c>
      <c r="Q4" s="38">
        <f t="shared" si="0"/>
        <v>220000000</v>
      </c>
      <c r="R4" s="38">
        <f t="shared" si="0"/>
        <v>220000000</v>
      </c>
      <c r="S4" s="38">
        <f t="shared" si="0"/>
        <v>220000000</v>
      </c>
      <c r="T4" s="38">
        <f t="shared" si="0"/>
        <v>220000000</v>
      </c>
      <c r="U4" s="38">
        <f t="shared" si="0"/>
        <v>220000000</v>
      </c>
      <c r="V4" s="38">
        <f t="shared" si="0"/>
        <v>220000000</v>
      </c>
      <c r="W4" s="38">
        <f t="shared" si="0"/>
        <v>201666666.66666666</v>
      </c>
      <c r="X4" s="38">
        <f t="shared" si="0"/>
        <v>184861111.1111111</v>
      </c>
      <c r="Y4" s="38">
        <f t="shared" si="0"/>
        <v>169456018.51851851</v>
      </c>
      <c r="Z4" s="38">
        <f t="shared" si="0"/>
        <v>155334683.64197528</v>
      </c>
      <c r="AA4" s="38">
        <f t="shared" si="0"/>
        <v>142390126.67181069</v>
      </c>
    </row>
    <row r="5" spans="1:30" x14ac:dyDescent="0.2">
      <c r="B5" t="s">
        <v>155</v>
      </c>
      <c r="D5" s="19">
        <f>MAX(0,'Construction Costs'!D5-Escrow!D6)</f>
        <v>0</v>
      </c>
      <c r="E5" s="19">
        <f>MAX(0,'Construction Costs'!E5-Escrow!E6)</f>
        <v>0</v>
      </c>
      <c r="F5" s="19">
        <f>MAX(0,'Construction Costs'!F5-Escrow!F6)</f>
        <v>0</v>
      </c>
      <c r="G5" s="19">
        <f>MAX(0,'Construction Costs'!G5-Escrow!G6)</f>
        <v>0</v>
      </c>
      <c r="H5" s="19">
        <f>MAX(0,'Construction Costs'!H5-Escrow!H6)</f>
        <v>0</v>
      </c>
      <c r="I5" s="19">
        <f>MAX(0,'Construction Costs'!I5-Escrow!I6)</f>
        <v>0</v>
      </c>
      <c r="J5" s="19">
        <f>MAX(0,'Construction Costs'!J5-Escrow!J6)</f>
        <v>0</v>
      </c>
      <c r="K5" s="19">
        <f>MAX(0,'Construction Costs'!K5-Escrow!K6)</f>
        <v>0</v>
      </c>
      <c r="L5" s="19">
        <f>MAX(0,'Construction Costs'!L5-Escrow!L6)</f>
        <v>0</v>
      </c>
      <c r="M5" s="19">
        <f>MAX(0,'Construction Costs'!M5-Escrow!M6)</f>
        <v>0</v>
      </c>
      <c r="N5" s="19">
        <f>MAX(0,'Construction Costs'!N5-Escrow!N6)</f>
        <v>0</v>
      </c>
      <c r="O5" s="19">
        <f>MAX(0,'Construction Costs'!O5-Escrow!O6)</f>
        <v>0</v>
      </c>
      <c r="P5" s="19">
        <f>MAX(0,'Construction Costs'!P5-Escrow!P6)</f>
        <v>0</v>
      </c>
      <c r="Q5" s="19">
        <f>MAX(0,'Construction Costs'!Q5-Escrow!Q6)</f>
        <v>0</v>
      </c>
      <c r="R5" s="19">
        <f>MAX(0,'Construction Costs'!R5-Escrow!R6)</f>
        <v>0</v>
      </c>
      <c r="S5" s="19">
        <f>MAX(0,'Construction Costs'!S5-Escrow!S6)</f>
        <v>0</v>
      </c>
      <c r="T5" s="19">
        <f>MAX(0,'Construction Costs'!T5-Escrow!T6)</f>
        <v>0</v>
      </c>
      <c r="U5" s="19">
        <f>MAX(0,'Construction Costs'!U5-Escrow!U6)</f>
        <v>0</v>
      </c>
      <c r="V5" s="19">
        <f>MAX(0,'Construction Costs'!V5-Escrow!V6)</f>
        <v>0</v>
      </c>
      <c r="W5" s="19">
        <f>MAX(0,'Construction Costs'!W5-Escrow!W6)</f>
        <v>0</v>
      </c>
      <c r="X5" s="19">
        <f>MAX(0,'Construction Costs'!X5-Escrow!X6)</f>
        <v>0</v>
      </c>
      <c r="Y5" s="19">
        <f>MAX(0,'Construction Costs'!Y5-Escrow!Y6)</f>
        <v>0</v>
      </c>
      <c r="Z5" s="19">
        <f>MAX(0,'Construction Costs'!Z5-Escrow!Z6)</f>
        <v>0</v>
      </c>
      <c r="AA5" s="19">
        <f>MAX(0,'Construction Costs'!AA5-Escrow!AA6)</f>
        <v>0</v>
      </c>
    </row>
    <row r="6" spans="1:30" x14ac:dyDescent="0.2">
      <c r="B6" t="s">
        <v>156</v>
      </c>
      <c r="C6" s="18">
        <f>Assumptions!$E$7+'Scenario Toggle'!$E$13</f>
        <v>6.5000000000000002E-2</v>
      </c>
      <c r="D6" s="18">
        <f t="shared" ref="D6:AA6" si="1">$C6</f>
        <v>6.5000000000000002E-2</v>
      </c>
      <c r="E6" s="18">
        <f t="shared" si="1"/>
        <v>6.5000000000000002E-2</v>
      </c>
      <c r="F6" s="18">
        <f t="shared" si="1"/>
        <v>6.5000000000000002E-2</v>
      </c>
      <c r="G6" s="18">
        <f t="shared" si="1"/>
        <v>6.5000000000000002E-2</v>
      </c>
      <c r="H6" s="18">
        <f t="shared" si="1"/>
        <v>6.5000000000000002E-2</v>
      </c>
      <c r="I6" s="18">
        <f t="shared" si="1"/>
        <v>6.5000000000000002E-2</v>
      </c>
      <c r="J6" s="18">
        <f t="shared" si="1"/>
        <v>6.5000000000000002E-2</v>
      </c>
      <c r="K6" s="18">
        <f t="shared" si="1"/>
        <v>6.5000000000000002E-2</v>
      </c>
      <c r="L6" s="18">
        <f t="shared" si="1"/>
        <v>6.5000000000000002E-2</v>
      </c>
      <c r="M6" s="18">
        <f t="shared" si="1"/>
        <v>6.5000000000000002E-2</v>
      </c>
      <c r="N6" s="18">
        <f t="shared" si="1"/>
        <v>6.5000000000000002E-2</v>
      </c>
      <c r="O6" s="18">
        <f t="shared" si="1"/>
        <v>6.5000000000000002E-2</v>
      </c>
      <c r="P6" s="18">
        <f t="shared" si="1"/>
        <v>6.5000000000000002E-2</v>
      </c>
      <c r="Q6" s="18">
        <f t="shared" si="1"/>
        <v>6.5000000000000002E-2</v>
      </c>
      <c r="R6" s="18">
        <f t="shared" si="1"/>
        <v>6.5000000000000002E-2</v>
      </c>
      <c r="S6" s="18">
        <f t="shared" si="1"/>
        <v>6.5000000000000002E-2</v>
      </c>
      <c r="T6" s="18">
        <f t="shared" si="1"/>
        <v>6.5000000000000002E-2</v>
      </c>
      <c r="U6" s="18">
        <f t="shared" si="1"/>
        <v>6.5000000000000002E-2</v>
      </c>
      <c r="V6" s="18">
        <f t="shared" si="1"/>
        <v>6.5000000000000002E-2</v>
      </c>
      <c r="W6" s="18">
        <f t="shared" si="1"/>
        <v>6.5000000000000002E-2</v>
      </c>
      <c r="X6" s="18">
        <f t="shared" si="1"/>
        <v>6.5000000000000002E-2</v>
      </c>
      <c r="Y6" s="18">
        <f t="shared" si="1"/>
        <v>6.5000000000000002E-2</v>
      </c>
      <c r="Z6" s="18">
        <f t="shared" si="1"/>
        <v>6.5000000000000002E-2</v>
      </c>
      <c r="AA6" s="18">
        <f t="shared" si="1"/>
        <v>6.5000000000000002E-2</v>
      </c>
    </row>
    <row r="7" spans="1:30" x14ac:dyDescent="0.2">
      <c r="B7" t="s">
        <v>157</v>
      </c>
      <c r="D7" s="19">
        <f t="shared" ref="D7:AA7" si="2">D4*D6/12</f>
        <v>1191666.6666666667</v>
      </c>
      <c r="E7" s="19">
        <f t="shared" si="2"/>
        <v>1191666.6666666667</v>
      </c>
      <c r="F7" s="19">
        <f t="shared" si="2"/>
        <v>1191666.6666666667</v>
      </c>
      <c r="G7" s="19">
        <f t="shared" si="2"/>
        <v>1191666.6666666667</v>
      </c>
      <c r="H7" s="19">
        <f t="shared" si="2"/>
        <v>1191666.6666666667</v>
      </c>
      <c r="I7" s="19">
        <f t="shared" si="2"/>
        <v>1191666.6666666667</v>
      </c>
      <c r="J7" s="19">
        <f t="shared" si="2"/>
        <v>1191666.6666666667</v>
      </c>
      <c r="K7" s="19">
        <f t="shared" si="2"/>
        <v>1191666.6666666667</v>
      </c>
      <c r="L7" s="19">
        <f t="shared" si="2"/>
        <v>1191666.6666666667</v>
      </c>
      <c r="M7" s="19">
        <f t="shared" si="2"/>
        <v>1191666.6666666667</v>
      </c>
      <c r="N7" s="19">
        <f t="shared" si="2"/>
        <v>1191666.6666666667</v>
      </c>
      <c r="O7" s="19">
        <f t="shared" si="2"/>
        <v>1191666.6666666667</v>
      </c>
      <c r="P7" s="19">
        <f t="shared" si="2"/>
        <v>1191666.6666666667</v>
      </c>
      <c r="Q7" s="19">
        <f t="shared" si="2"/>
        <v>1191666.6666666667</v>
      </c>
      <c r="R7" s="19">
        <f t="shared" si="2"/>
        <v>1191666.6666666667</v>
      </c>
      <c r="S7" s="19">
        <f t="shared" si="2"/>
        <v>1191666.6666666667</v>
      </c>
      <c r="T7" s="19">
        <f t="shared" si="2"/>
        <v>1191666.6666666667</v>
      </c>
      <c r="U7" s="19">
        <f t="shared" si="2"/>
        <v>1191666.6666666667</v>
      </c>
      <c r="V7" s="19">
        <f t="shared" si="2"/>
        <v>1191666.6666666667</v>
      </c>
      <c r="W7" s="19">
        <f t="shared" si="2"/>
        <v>1092361.1111111112</v>
      </c>
      <c r="X7" s="19">
        <f t="shared" si="2"/>
        <v>1001331.0185185185</v>
      </c>
      <c r="Y7" s="19">
        <f t="shared" si="2"/>
        <v>917886.76697530865</v>
      </c>
      <c r="Z7" s="19">
        <f t="shared" si="2"/>
        <v>841396.20306069951</v>
      </c>
      <c r="AA7" s="19">
        <f t="shared" si="2"/>
        <v>771279.85280564113</v>
      </c>
    </row>
    <row r="8" spans="1:30" x14ac:dyDescent="0.2">
      <c r="B8" t="s">
        <v>158</v>
      </c>
      <c r="D8" s="19">
        <f t="shared" ref="D8:AA8" si="3">D7</f>
        <v>1191666.6666666667</v>
      </c>
      <c r="E8" s="19">
        <f t="shared" si="3"/>
        <v>1191666.6666666667</v>
      </c>
      <c r="F8" s="19">
        <f t="shared" si="3"/>
        <v>1191666.6666666667</v>
      </c>
      <c r="G8" s="19">
        <f t="shared" si="3"/>
        <v>1191666.6666666667</v>
      </c>
      <c r="H8" s="19">
        <f t="shared" si="3"/>
        <v>1191666.6666666667</v>
      </c>
      <c r="I8" s="19">
        <f t="shared" si="3"/>
        <v>1191666.6666666667</v>
      </c>
      <c r="J8" s="19">
        <f t="shared" si="3"/>
        <v>1191666.6666666667</v>
      </c>
      <c r="K8" s="19">
        <f t="shared" si="3"/>
        <v>1191666.6666666667</v>
      </c>
      <c r="L8" s="19">
        <f t="shared" si="3"/>
        <v>1191666.6666666667</v>
      </c>
      <c r="M8" s="19">
        <f t="shared" si="3"/>
        <v>1191666.6666666667</v>
      </c>
      <c r="N8" s="19">
        <f t="shared" si="3"/>
        <v>1191666.6666666667</v>
      </c>
      <c r="O8" s="19">
        <f t="shared" si="3"/>
        <v>1191666.6666666667</v>
      </c>
      <c r="P8" s="19">
        <f t="shared" si="3"/>
        <v>1191666.6666666667</v>
      </c>
      <c r="Q8" s="19">
        <f t="shared" si="3"/>
        <v>1191666.6666666667</v>
      </c>
      <c r="R8" s="19">
        <f t="shared" si="3"/>
        <v>1191666.6666666667</v>
      </c>
      <c r="S8" s="19">
        <f t="shared" si="3"/>
        <v>1191666.6666666667</v>
      </c>
      <c r="T8" s="19">
        <f t="shared" si="3"/>
        <v>1191666.6666666667</v>
      </c>
      <c r="U8" s="19">
        <f t="shared" si="3"/>
        <v>1191666.6666666667</v>
      </c>
      <c r="V8" s="19">
        <f t="shared" si="3"/>
        <v>1191666.6666666667</v>
      </c>
      <c r="W8" s="19">
        <f t="shared" si="3"/>
        <v>1092361.1111111112</v>
      </c>
      <c r="X8" s="19">
        <f t="shared" si="3"/>
        <v>1001331.0185185185</v>
      </c>
      <c r="Y8" s="19">
        <f t="shared" si="3"/>
        <v>917886.76697530865</v>
      </c>
      <c r="Z8" s="19">
        <f t="shared" si="3"/>
        <v>841396.20306069951</v>
      </c>
      <c r="AA8" s="19">
        <f t="shared" si="3"/>
        <v>771279.85280564113</v>
      </c>
    </row>
    <row r="9" spans="1:30" x14ac:dyDescent="0.2">
      <c r="B9" t="s">
        <v>159</v>
      </c>
      <c r="D9" s="19">
        <f>IF(D$3&gt;EDATE('Project Database'!$E$4,ROUND('Scenario Toggle'!$E$12,0)),MIN((D4+D5)/12,D4+D5),0)</f>
        <v>0</v>
      </c>
      <c r="E9" s="19">
        <f>IF(E$3&gt;EDATE('Project Database'!$E$4,ROUND('Scenario Toggle'!$E$12,0)),MIN((E4+E5)/12,E4+E5),0)</f>
        <v>0</v>
      </c>
      <c r="F9" s="19">
        <f>IF(F$3&gt;EDATE('Project Database'!$E$4,ROUND('Scenario Toggle'!$E$12,0)),MIN((F4+F5)/12,F4+F5),0)</f>
        <v>0</v>
      </c>
      <c r="G9" s="19">
        <f>IF(G$3&gt;EDATE('Project Database'!$E$4,ROUND('Scenario Toggle'!$E$12,0)),MIN((G4+G5)/12,G4+G5),0)</f>
        <v>0</v>
      </c>
      <c r="H9" s="19">
        <f>IF(H$3&gt;EDATE('Project Database'!$E$4,ROUND('Scenario Toggle'!$E$12,0)),MIN((H4+H5)/12,H4+H5),0)</f>
        <v>0</v>
      </c>
      <c r="I9" s="19">
        <f>IF(I$3&gt;EDATE('Project Database'!$E$4,ROUND('Scenario Toggle'!$E$12,0)),MIN((I4+I5)/12,I4+I5),0)</f>
        <v>0</v>
      </c>
      <c r="J9" s="19">
        <f>IF(J$3&gt;EDATE('Project Database'!$E$4,ROUND('Scenario Toggle'!$E$12,0)),MIN((J4+J5)/12,J4+J5),0)</f>
        <v>0</v>
      </c>
      <c r="K9" s="19">
        <f>IF(K$3&gt;EDATE('Project Database'!$E$4,ROUND('Scenario Toggle'!$E$12,0)),MIN((K4+K5)/12,K4+K5),0)</f>
        <v>0</v>
      </c>
      <c r="L9" s="19">
        <f>IF(L$3&gt;EDATE('Project Database'!$E$4,ROUND('Scenario Toggle'!$E$12,0)),MIN((L4+L5)/12,L4+L5),0)</f>
        <v>0</v>
      </c>
      <c r="M9" s="19">
        <f>IF(M$3&gt;EDATE('Project Database'!$E$4,ROUND('Scenario Toggle'!$E$12,0)),MIN((M4+M5)/12,M4+M5),0)</f>
        <v>0</v>
      </c>
      <c r="N9" s="19">
        <f>IF(N$3&gt;EDATE('Project Database'!$E$4,ROUND('Scenario Toggle'!$E$12,0)),MIN((N4+N5)/12,N4+N5),0)</f>
        <v>0</v>
      </c>
      <c r="O9" s="19">
        <f>IF(O$3&gt;EDATE('Project Database'!$E$4,ROUND('Scenario Toggle'!$E$12,0)),MIN((O4+O5)/12,O4+O5),0)</f>
        <v>0</v>
      </c>
      <c r="P9" s="19">
        <f>IF(P$3&gt;EDATE('Project Database'!$E$4,ROUND('Scenario Toggle'!$E$12,0)),MIN((P4+P5)/12,P4+P5),0)</f>
        <v>0</v>
      </c>
      <c r="Q9" s="19">
        <f>IF(Q$3&gt;EDATE('Project Database'!$E$4,ROUND('Scenario Toggle'!$E$12,0)),MIN((Q4+Q5)/12,Q4+Q5),0)</f>
        <v>0</v>
      </c>
      <c r="R9" s="19">
        <f>IF(R$3&gt;EDATE('Project Database'!$E$4,ROUND('Scenario Toggle'!$E$12,0)),MIN((R4+R5)/12,R4+R5),0)</f>
        <v>0</v>
      </c>
      <c r="S9" s="19">
        <f>IF(S$3&gt;EDATE('Project Database'!$E$4,ROUND('Scenario Toggle'!$E$12,0)),MIN((S4+S5)/12,S4+S5),0)</f>
        <v>0</v>
      </c>
      <c r="T9" s="19">
        <f>IF(T$3&gt;EDATE('Project Database'!$E$4,ROUND('Scenario Toggle'!$E$12,0)),MIN((T4+T5)/12,T4+T5),0)</f>
        <v>0</v>
      </c>
      <c r="U9" s="19">
        <f>IF(U$3&gt;EDATE('Project Database'!$E$4,ROUND('Scenario Toggle'!$E$12,0)),MIN((U4+U5)/12,U4+U5),0)</f>
        <v>0</v>
      </c>
      <c r="V9" s="19">
        <f>IF(V$3&gt;EDATE('Project Database'!$E$4,ROUND('Scenario Toggle'!$E$12,0)),MIN((V4+V5)/12,V4+V5),0)</f>
        <v>18333333.333333332</v>
      </c>
      <c r="W9" s="19">
        <f>IF(W$3&gt;EDATE('Project Database'!$E$4,ROUND('Scenario Toggle'!$E$12,0)),MIN((W4+W5)/12,W4+W5),0)</f>
        <v>16805555.555555556</v>
      </c>
      <c r="X9" s="19">
        <f>IF(X$3&gt;EDATE('Project Database'!$E$4,ROUND('Scenario Toggle'!$E$12,0)),MIN((X4+X5)/12,X4+X5),0)</f>
        <v>15405092.592592591</v>
      </c>
      <c r="Y9" s="19">
        <f>IF(Y$3&gt;EDATE('Project Database'!$E$4,ROUND('Scenario Toggle'!$E$12,0)),MIN((Y4+Y5)/12,Y4+Y5),0)</f>
        <v>14121334.876543209</v>
      </c>
      <c r="Z9" s="19">
        <f>IF(Z$3&gt;EDATE('Project Database'!$E$4,ROUND('Scenario Toggle'!$E$12,0)),MIN((Z4+Z5)/12,Z4+Z5),0)</f>
        <v>12944556.970164606</v>
      </c>
      <c r="AA9" s="19">
        <f>IF(AA$3&gt;EDATE('Project Database'!$E$4,ROUND('Scenario Toggle'!$E$12,0)),MIN((AA4+AA5)/12,AA4+AA5),0)</f>
        <v>11865843.889317557</v>
      </c>
    </row>
    <row r="10" spans="1:30" x14ac:dyDescent="0.2">
      <c r="B10" t="s">
        <v>141</v>
      </c>
      <c r="D10" s="19">
        <f t="shared" ref="D10:AA10" si="4">MAX(0,D4+D5+D7-D8-D9)</f>
        <v>220000000</v>
      </c>
      <c r="E10" s="19">
        <f t="shared" si="4"/>
        <v>220000000</v>
      </c>
      <c r="F10" s="19">
        <f t="shared" si="4"/>
        <v>220000000</v>
      </c>
      <c r="G10" s="19">
        <f t="shared" si="4"/>
        <v>220000000</v>
      </c>
      <c r="H10" s="19">
        <f t="shared" si="4"/>
        <v>220000000</v>
      </c>
      <c r="I10" s="19">
        <f t="shared" si="4"/>
        <v>220000000</v>
      </c>
      <c r="J10" s="19">
        <f t="shared" si="4"/>
        <v>220000000</v>
      </c>
      <c r="K10" s="19">
        <f t="shared" si="4"/>
        <v>220000000</v>
      </c>
      <c r="L10" s="19">
        <f t="shared" si="4"/>
        <v>220000000</v>
      </c>
      <c r="M10" s="19">
        <f t="shared" si="4"/>
        <v>220000000</v>
      </c>
      <c r="N10" s="19">
        <f t="shared" si="4"/>
        <v>220000000</v>
      </c>
      <c r="O10" s="19">
        <f t="shared" si="4"/>
        <v>220000000</v>
      </c>
      <c r="P10" s="19">
        <f t="shared" si="4"/>
        <v>220000000</v>
      </c>
      <c r="Q10" s="19">
        <f t="shared" si="4"/>
        <v>220000000</v>
      </c>
      <c r="R10" s="19">
        <f t="shared" si="4"/>
        <v>220000000</v>
      </c>
      <c r="S10" s="19">
        <f t="shared" si="4"/>
        <v>220000000</v>
      </c>
      <c r="T10" s="19">
        <f t="shared" si="4"/>
        <v>220000000</v>
      </c>
      <c r="U10" s="19">
        <f t="shared" si="4"/>
        <v>220000000</v>
      </c>
      <c r="V10" s="19">
        <f t="shared" si="4"/>
        <v>201666666.66666666</v>
      </c>
      <c r="W10" s="19">
        <f t="shared" si="4"/>
        <v>184861111.1111111</v>
      </c>
      <c r="X10" s="19">
        <f t="shared" si="4"/>
        <v>169456018.51851851</v>
      </c>
      <c r="Y10" s="19">
        <f t="shared" si="4"/>
        <v>155334683.64197528</v>
      </c>
      <c r="Z10" s="19">
        <f t="shared" si="4"/>
        <v>142390126.67181069</v>
      </c>
      <c r="AA10" s="19">
        <f t="shared" si="4"/>
        <v>130524282.78249313</v>
      </c>
    </row>
    <row r="11" spans="1:30" x14ac:dyDescent="0.2">
      <c r="A11" s="30" t="s">
        <v>97</v>
      </c>
      <c r="B11" s="30" t="s">
        <v>138</v>
      </c>
      <c r="C11" s="38">
        <f>'Project Database'!$K$5</f>
        <v>140000000</v>
      </c>
      <c r="D11" s="38">
        <f>$C11</f>
        <v>140000000</v>
      </c>
      <c r="E11" s="38">
        <f t="shared" ref="E11:AA11" si="5">D17</f>
        <v>140000000</v>
      </c>
      <c r="F11" s="38">
        <f t="shared" si="5"/>
        <v>140000000</v>
      </c>
      <c r="G11" s="38">
        <f t="shared" si="5"/>
        <v>140000000</v>
      </c>
      <c r="H11" s="38">
        <f t="shared" si="5"/>
        <v>140000000</v>
      </c>
      <c r="I11" s="38">
        <f t="shared" si="5"/>
        <v>140000000</v>
      </c>
      <c r="J11" s="38">
        <f t="shared" si="5"/>
        <v>140000000</v>
      </c>
      <c r="K11" s="38">
        <f t="shared" si="5"/>
        <v>140000000</v>
      </c>
      <c r="L11" s="38">
        <f t="shared" si="5"/>
        <v>140000000</v>
      </c>
      <c r="M11" s="38">
        <f t="shared" si="5"/>
        <v>140000000</v>
      </c>
      <c r="N11" s="38">
        <f t="shared" si="5"/>
        <v>140000000</v>
      </c>
      <c r="O11" s="38">
        <f t="shared" si="5"/>
        <v>140000000</v>
      </c>
      <c r="P11" s="38">
        <f t="shared" si="5"/>
        <v>140000000</v>
      </c>
      <c r="Q11" s="38">
        <f t="shared" si="5"/>
        <v>140000000</v>
      </c>
      <c r="R11" s="38">
        <f t="shared" si="5"/>
        <v>140000000</v>
      </c>
      <c r="S11" s="38">
        <f t="shared" si="5"/>
        <v>140000000</v>
      </c>
      <c r="T11" s="38">
        <f t="shared" si="5"/>
        <v>140000000</v>
      </c>
      <c r="U11" s="38">
        <f t="shared" si="5"/>
        <v>140000000</v>
      </c>
      <c r="V11" s="38">
        <f t="shared" si="5"/>
        <v>140000000</v>
      </c>
      <c r="W11" s="38">
        <f t="shared" si="5"/>
        <v>140000000</v>
      </c>
      <c r="X11" s="38">
        <f t="shared" si="5"/>
        <v>140000000</v>
      </c>
      <c r="Y11" s="38">
        <f t="shared" si="5"/>
        <v>140000000</v>
      </c>
      <c r="Z11" s="38">
        <f t="shared" si="5"/>
        <v>128333333.33333333</v>
      </c>
      <c r="AA11" s="38">
        <f t="shared" si="5"/>
        <v>117638888.88888888</v>
      </c>
    </row>
    <row r="12" spans="1:30" x14ac:dyDescent="0.2">
      <c r="B12" t="s">
        <v>155</v>
      </c>
      <c r="D12" s="19">
        <f>MAX(0,'Construction Costs'!D11-Escrow!D11)</f>
        <v>0</v>
      </c>
      <c r="E12" s="19">
        <f>MAX(0,'Construction Costs'!E11-Escrow!E11)</f>
        <v>0</v>
      </c>
      <c r="F12" s="19">
        <f>MAX(0,'Construction Costs'!F11-Escrow!F11)</f>
        <v>0</v>
      </c>
      <c r="G12" s="19">
        <f>MAX(0,'Construction Costs'!G11-Escrow!G11)</f>
        <v>0</v>
      </c>
      <c r="H12" s="19">
        <f>MAX(0,'Construction Costs'!H11-Escrow!H11)</f>
        <v>0</v>
      </c>
      <c r="I12" s="19">
        <f>MAX(0,'Construction Costs'!I11-Escrow!I11)</f>
        <v>0</v>
      </c>
      <c r="J12" s="19">
        <f>MAX(0,'Construction Costs'!J11-Escrow!J11)</f>
        <v>0</v>
      </c>
      <c r="K12" s="19">
        <f>MAX(0,'Construction Costs'!K11-Escrow!K11)</f>
        <v>0</v>
      </c>
      <c r="L12" s="19">
        <f>MAX(0,'Construction Costs'!L11-Escrow!L11)</f>
        <v>0</v>
      </c>
      <c r="M12" s="19">
        <f>MAX(0,'Construction Costs'!M11-Escrow!M11)</f>
        <v>0</v>
      </c>
      <c r="N12" s="19">
        <f>MAX(0,'Construction Costs'!N11-Escrow!N11)</f>
        <v>0</v>
      </c>
      <c r="O12" s="19">
        <f>MAX(0,'Construction Costs'!O11-Escrow!O11)</f>
        <v>0</v>
      </c>
      <c r="P12" s="19">
        <f>MAX(0,'Construction Costs'!P11-Escrow!P11)</f>
        <v>0</v>
      </c>
      <c r="Q12" s="19">
        <f>MAX(0,'Construction Costs'!Q11-Escrow!Q11)</f>
        <v>0</v>
      </c>
      <c r="R12" s="19">
        <f>MAX(0,'Construction Costs'!R11-Escrow!R11)</f>
        <v>0</v>
      </c>
      <c r="S12" s="19">
        <f>MAX(0,'Construction Costs'!S11-Escrow!S11)</f>
        <v>0</v>
      </c>
      <c r="T12" s="19">
        <f>MAX(0,'Construction Costs'!T11-Escrow!T11)</f>
        <v>0</v>
      </c>
      <c r="U12" s="19">
        <f>MAX(0,'Construction Costs'!U11-Escrow!U11)</f>
        <v>0</v>
      </c>
      <c r="V12" s="19">
        <f>MAX(0,'Construction Costs'!V11-Escrow!V11)</f>
        <v>0</v>
      </c>
      <c r="W12" s="19">
        <f>MAX(0,'Construction Costs'!W11-Escrow!W11)</f>
        <v>0</v>
      </c>
      <c r="X12" s="19">
        <f>MAX(0,'Construction Costs'!X11-Escrow!X11)</f>
        <v>0</v>
      </c>
      <c r="Y12" s="19">
        <f>MAX(0,'Construction Costs'!Y11-Escrow!Y11)</f>
        <v>0</v>
      </c>
      <c r="Z12" s="19">
        <f>MAX(0,'Construction Costs'!Z11-Escrow!Z11)</f>
        <v>0</v>
      </c>
      <c r="AA12" s="19">
        <f>MAX(0,'Construction Costs'!AA11-Escrow!AA11)</f>
        <v>0</v>
      </c>
    </row>
    <row r="13" spans="1:30" x14ac:dyDescent="0.2">
      <c r="B13" t="s">
        <v>156</v>
      </c>
      <c r="C13" s="18">
        <f>Assumptions!$E$7+'Scenario Toggle'!$E$13</f>
        <v>6.5000000000000002E-2</v>
      </c>
      <c r="D13" s="18">
        <f t="shared" ref="D13:AA13" si="6">$C13</f>
        <v>6.5000000000000002E-2</v>
      </c>
      <c r="E13" s="18">
        <f t="shared" si="6"/>
        <v>6.5000000000000002E-2</v>
      </c>
      <c r="F13" s="18">
        <f t="shared" si="6"/>
        <v>6.5000000000000002E-2</v>
      </c>
      <c r="G13" s="18">
        <f t="shared" si="6"/>
        <v>6.5000000000000002E-2</v>
      </c>
      <c r="H13" s="18">
        <f t="shared" si="6"/>
        <v>6.5000000000000002E-2</v>
      </c>
      <c r="I13" s="18">
        <f t="shared" si="6"/>
        <v>6.5000000000000002E-2</v>
      </c>
      <c r="J13" s="18">
        <f t="shared" si="6"/>
        <v>6.5000000000000002E-2</v>
      </c>
      <c r="K13" s="18">
        <f t="shared" si="6"/>
        <v>6.5000000000000002E-2</v>
      </c>
      <c r="L13" s="18">
        <f t="shared" si="6"/>
        <v>6.5000000000000002E-2</v>
      </c>
      <c r="M13" s="18">
        <f t="shared" si="6"/>
        <v>6.5000000000000002E-2</v>
      </c>
      <c r="N13" s="18">
        <f t="shared" si="6"/>
        <v>6.5000000000000002E-2</v>
      </c>
      <c r="O13" s="18">
        <f t="shared" si="6"/>
        <v>6.5000000000000002E-2</v>
      </c>
      <c r="P13" s="18">
        <f t="shared" si="6"/>
        <v>6.5000000000000002E-2</v>
      </c>
      <c r="Q13" s="18">
        <f t="shared" si="6"/>
        <v>6.5000000000000002E-2</v>
      </c>
      <c r="R13" s="18">
        <f t="shared" si="6"/>
        <v>6.5000000000000002E-2</v>
      </c>
      <c r="S13" s="18">
        <f t="shared" si="6"/>
        <v>6.5000000000000002E-2</v>
      </c>
      <c r="T13" s="18">
        <f t="shared" si="6"/>
        <v>6.5000000000000002E-2</v>
      </c>
      <c r="U13" s="18">
        <f t="shared" si="6"/>
        <v>6.5000000000000002E-2</v>
      </c>
      <c r="V13" s="18">
        <f t="shared" si="6"/>
        <v>6.5000000000000002E-2</v>
      </c>
      <c r="W13" s="18">
        <f t="shared" si="6"/>
        <v>6.5000000000000002E-2</v>
      </c>
      <c r="X13" s="18">
        <f t="shared" si="6"/>
        <v>6.5000000000000002E-2</v>
      </c>
      <c r="Y13" s="18">
        <f t="shared" si="6"/>
        <v>6.5000000000000002E-2</v>
      </c>
      <c r="Z13" s="18">
        <f t="shared" si="6"/>
        <v>6.5000000000000002E-2</v>
      </c>
      <c r="AA13" s="18">
        <f t="shared" si="6"/>
        <v>6.5000000000000002E-2</v>
      </c>
    </row>
    <row r="14" spans="1:30" x14ac:dyDescent="0.2">
      <c r="B14" t="s">
        <v>157</v>
      </c>
      <c r="D14" s="19">
        <f t="shared" ref="D14:AA14" si="7">D11*D13/12</f>
        <v>758333.33333333337</v>
      </c>
      <c r="E14" s="19">
        <f t="shared" si="7"/>
        <v>758333.33333333337</v>
      </c>
      <c r="F14" s="19">
        <f t="shared" si="7"/>
        <v>758333.33333333337</v>
      </c>
      <c r="G14" s="19">
        <f t="shared" si="7"/>
        <v>758333.33333333337</v>
      </c>
      <c r="H14" s="19">
        <f t="shared" si="7"/>
        <v>758333.33333333337</v>
      </c>
      <c r="I14" s="19">
        <f t="shared" si="7"/>
        <v>758333.33333333337</v>
      </c>
      <c r="J14" s="19">
        <f t="shared" si="7"/>
        <v>758333.33333333337</v>
      </c>
      <c r="K14" s="19">
        <f t="shared" si="7"/>
        <v>758333.33333333337</v>
      </c>
      <c r="L14" s="19">
        <f t="shared" si="7"/>
        <v>758333.33333333337</v>
      </c>
      <c r="M14" s="19">
        <f t="shared" si="7"/>
        <v>758333.33333333337</v>
      </c>
      <c r="N14" s="19">
        <f t="shared" si="7"/>
        <v>758333.33333333337</v>
      </c>
      <c r="O14" s="19">
        <f t="shared" si="7"/>
        <v>758333.33333333337</v>
      </c>
      <c r="P14" s="19">
        <f t="shared" si="7"/>
        <v>758333.33333333337</v>
      </c>
      <c r="Q14" s="19">
        <f t="shared" si="7"/>
        <v>758333.33333333337</v>
      </c>
      <c r="R14" s="19">
        <f t="shared" si="7"/>
        <v>758333.33333333337</v>
      </c>
      <c r="S14" s="19">
        <f t="shared" si="7"/>
        <v>758333.33333333337</v>
      </c>
      <c r="T14" s="19">
        <f t="shared" si="7"/>
        <v>758333.33333333337</v>
      </c>
      <c r="U14" s="19">
        <f t="shared" si="7"/>
        <v>758333.33333333337</v>
      </c>
      <c r="V14" s="19">
        <f t="shared" si="7"/>
        <v>758333.33333333337</v>
      </c>
      <c r="W14" s="19">
        <f t="shared" si="7"/>
        <v>758333.33333333337</v>
      </c>
      <c r="X14" s="19">
        <f t="shared" si="7"/>
        <v>758333.33333333337</v>
      </c>
      <c r="Y14" s="19">
        <f t="shared" si="7"/>
        <v>758333.33333333337</v>
      </c>
      <c r="Z14" s="19">
        <f t="shared" si="7"/>
        <v>695138.88888888888</v>
      </c>
      <c r="AA14" s="19">
        <f t="shared" si="7"/>
        <v>637210.64814814809</v>
      </c>
    </row>
    <row r="15" spans="1:30" x14ac:dyDescent="0.2">
      <c r="B15" t="s">
        <v>158</v>
      </c>
      <c r="D15" s="19">
        <f t="shared" ref="D15:AA15" si="8">D14</f>
        <v>758333.33333333337</v>
      </c>
      <c r="E15" s="19">
        <f t="shared" si="8"/>
        <v>758333.33333333337</v>
      </c>
      <c r="F15" s="19">
        <f t="shared" si="8"/>
        <v>758333.33333333337</v>
      </c>
      <c r="G15" s="19">
        <f t="shared" si="8"/>
        <v>758333.33333333337</v>
      </c>
      <c r="H15" s="19">
        <f t="shared" si="8"/>
        <v>758333.33333333337</v>
      </c>
      <c r="I15" s="19">
        <f t="shared" si="8"/>
        <v>758333.33333333337</v>
      </c>
      <c r="J15" s="19">
        <f t="shared" si="8"/>
        <v>758333.33333333337</v>
      </c>
      <c r="K15" s="19">
        <f t="shared" si="8"/>
        <v>758333.33333333337</v>
      </c>
      <c r="L15" s="19">
        <f t="shared" si="8"/>
        <v>758333.33333333337</v>
      </c>
      <c r="M15" s="19">
        <f t="shared" si="8"/>
        <v>758333.33333333337</v>
      </c>
      <c r="N15" s="19">
        <f t="shared" si="8"/>
        <v>758333.33333333337</v>
      </c>
      <c r="O15" s="19">
        <f t="shared" si="8"/>
        <v>758333.33333333337</v>
      </c>
      <c r="P15" s="19">
        <f t="shared" si="8"/>
        <v>758333.33333333337</v>
      </c>
      <c r="Q15" s="19">
        <f t="shared" si="8"/>
        <v>758333.33333333337</v>
      </c>
      <c r="R15" s="19">
        <f t="shared" si="8"/>
        <v>758333.33333333337</v>
      </c>
      <c r="S15" s="19">
        <f t="shared" si="8"/>
        <v>758333.33333333337</v>
      </c>
      <c r="T15" s="19">
        <f t="shared" si="8"/>
        <v>758333.33333333337</v>
      </c>
      <c r="U15" s="19">
        <f t="shared" si="8"/>
        <v>758333.33333333337</v>
      </c>
      <c r="V15" s="19">
        <f t="shared" si="8"/>
        <v>758333.33333333337</v>
      </c>
      <c r="W15" s="19">
        <f t="shared" si="8"/>
        <v>758333.33333333337</v>
      </c>
      <c r="X15" s="19">
        <f t="shared" si="8"/>
        <v>758333.33333333337</v>
      </c>
      <c r="Y15" s="19">
        <f t="shared" si="8"/>
        <v>758333.33333333337</v>
      </c>
      <c r="Z15" s="19">
        <f t="shared" si="8"/>
        <v>695138.88888888888</v>
      </c>
      <c r="AA15" s="19">
        <f t="shared" si="8"/>
        <v>637210.64814814809</v>
      </c>
    </row>
    <row r="16" spans="1:30" x14ac:dyDescent="0.2">
      <c r="B16" t="s">
        <v>159</v>
      </c>
      <c r="D16" s="19">
        <f>IF(D$3&gt;EDATE('Project Database'!$E$5,ROUND('Scenario Toggle'!$E$12,0)),MIN((D11+D12)/12,D11+D12),0)</f>
        <v>0</v>
      </c>
      <c r="E16" s="19">
        <f>IF(E$3&gt;EDATE('Project Database'!$E$5,ROUND('Scenario Toggle'!$E$12,0)),MIN((E11+E12)/12,E11+E12),0)</f>
        <v>0</v>
      </c>
      <c r="F16" s="19">
        <f>IF(F$3&gt;EDATE('Project Database'!$E$5,ROUND('Scenario Toggle'!$E$12,0)),MIN((F11+F12)/12,F11+F12),0)</f>
        <v>0</v>
      </c>
      <c r="G16" s="19">
        <f>IF(G$3&gt;EDATE('Project Database'!$E$5,ROUND('Scenario Toggle'!$E$12,0)),MIN((G11+G12)/12,G11+G12),0)</f>
        <v>0</v>
      </c>
      <c r="H16" s="19">
        <f>IF(H$3&gt;EDATE('Project Database'!$E$5,ROUND('Scenario Toggle'!$E$12,0)),MIN((H11+H12)/12,H11+H12),0)</f>
        <v>0</v>
      </c>
      <c r="I16" s="19">
        <f>IF(I$3&gt;EDATE('Project Database'!$E$5,ROUND('Scenario Toggle'!$E$12,0)),MIN((I11+I12)/12,I11+I12),0)</f>
        <v>0</v>
      </c>
      <c r="J16" s="19">
        <f>IF(J$3&gt;EDATE('Project Database'!$E$5,ROUND('Scenario Toggle'!$E$12,0)),MIN((J11+J12)/12,J11+J12),0)</f>
        <v>0</v>
      </c>
      <c r="K16" s="19">
        <f>IF(K$3&gt;EDATE('Project Database'!$E$5,ROUND('Scenario Toggle'!$E$12,0)),MIN((K11+K12)/12,K11+K12),0)</f>
        <v>0</v>
      </c>
      <c r="L16" s="19">
        <f>IF(L$3&gt;EDATE('Project Database'!$E$5,ROUND('Scenario Toggle'!$E$12,0)),MIN((L11+L12)/12,L11+L12),0)</f>
        <v>0</v>
      </c>
      <c r="M16" s="19">
        <f>IF(M$3&gt;EDATE('Project Database'!$E$5,ROUND('Scenario Toggle'!$E$12,0)),MIN((M11+M12)/12,M11+M12),0)</f>
        <v>0</v>
      </c>
      <c r="N16" s="19">
        <f>IF(N$3&gt;EDATE('Project Database'!$E$5,ROUND('Scenario Toggle'!$E$12,0)),MIN((N11+N12)/12,N11+N12),0)</f>
        <v>0</v>
      </c>
      <c r="O16" s="19">
        <f>IF(O$3&gt;EDATE('Project Database'!$E$5,ROUND('Scenario Toggle'!$E$12,0)),MIN((O11+O12)/12,O11+O12),0)</f>
        <v>0</v>
      </c>
      <c r="P16" s="19">
        <f>IF(P$3&gt;EDATE('Project Database'!$E$5,ROUND('Scenario Toggle'!$E$12,0)),MIN((P11+P12)/12,P11+P12),0)</f>
        <v>0</v>
      </c>
      <c r="Q16" s="19">
        <f>IF(Q$3&gt;EDATE('Project Database'!$E$5,ROUND('Scenario Toggle'!$E$12,0)),MIN((Q11+Q12)/12,Q11+Q12),0)</f>
        <v>0</v>
      </c>
      <c r="R16" s="19">
        <f>IF(R$3&gt;EDATE('Project Database'!$E$5,ROUND('Scenario Toggle'!$E$12,0)),MIN((R11+R12)/12,R11+R12),0)</f>
        <v>0</v>
      </c>
      <c r="S16" s="19">
        <f>IF(S$3&gt;EDATE('Project Database'!$E$5,ROUND('Scenario Toggle'!$E$12,0)),MIN((S11+S12)/12,S11+S12),0)</f>
        <v>0</v>
      </c>
      <c r="T16" s="19">
        <f>IF(T$3&gt;EDATE('Project Database'!$E$5,ROUND('Scenario Toggle'!$E$12,0)),MIN((T11+T12)/12,T11+T12),0)</f>
        <v>0</v>
      </c>
      <c r="U16" s="19">
        <f>IF(U$3&gt;EDATE('Project Database'!$E$5,ROUND('Scenario Toggle'!$E$12,0)),MIN((U11+U12)/12,U11+U12),0)</f>
        <v>0</v>
      </c>
      <c r="V16" s="19">
        <f>IF(V$3&gt;EDATE('Project Database'!$E$5,ROUND('Scenario Toggle'!$E$12,0)),MIN((V11+V12)/12,V11+V12),0)</f>
        <v>0</v>
      </c>
      <c r="W16" s="19">
        <f>IF(W$3&gt;EDATE('Project Database'!$E$5,ROUND('Scenario Toggle'!$E$12,0)),MIN((W11+W12)/12,W11+W12),0)</f>
        <v>0</v>
      </c>
      <c r="X16" s="19">
        <f>IF(X$3&gt;EDATE('Project Database'!$E$5,ROUND('Scenario Toggle'!$E$12,0)),MIN((X11+X12)/12,X11+X12),0)</f>
        <v>0</v>
      </c>
      <c r="Y16" s="19">
        <f>IF(Y$3&gt;EDATE('Project Database'!$E$5,ROUND('Scenario Toggle'!$E$12,0)),MIN((Y11+Y12)/12,Y11+Y12),0)</f>
        <v>11666666.666666666</v>
      </c>
      <c r="Z16" s="19">
        <f>IF(Z$3&gt;EDATE('Project Database'!$E$5,ROUND('Scenario Toggle'!$E$12,0)),MIN((Z11+Z12)/12,Z11+Z12),0)</f>
        <v>10694444.444444444</v>
      </c>
      <c r="AA16" s="19">
        <f>IF(AA$3&gt;EDATE('Project Database'!$E$5,ROUND('Scenario Toggle'!$E$12,0)),MIN((AA11+AA12)/12,AA11+AA12),0)</f>
        <v>9803240.7407407407</v>
      </c>
    </row>
    <row r="17" spans="1:27" x14ac:dyDescent="0.2">
      <c r="B17" t="s">
        <v>141</v>
      </c>
      <c r="D17" s="19">
        <f t="shared" ref="D17:AA17" si="9">MAX(0,D11+D12+D14-D15-D16)</f>
        <v>140000000</v>
      </c>
      <c r="E17" s="19">
        <f t="shared" si="9"/>
        <v>140000000</v>
      </c>
      <c r="F17" s="19">
        <f t="shared" si="9"/>
        <v>140000000</v>
      </c>
      <c r="G17" s="19">
        <f t="shared" si="9"/>
        <v>140000000</v>
      </c>
      <c r="H17" s="19">
        <f t="shared" si="9"/>
        <v>140000000</v>
      </c>
      <c r="I17" s="19">
        <f t="shared" si="9"/>
        <v>140000000</v>
      </c>
      <c r="J17" s="19">
        <f t="shared" si="9"/>
        <v>140000000</v>
      </c>
      <c r="K17" s="19">
        <f t="shared" si="9"/>
        <v>140000000</v>
      </c>
      <c r="L17" s="19">
        <f t="shared" si="9"/>
        <v>140000000</v>
      </c>
      <c r="M17" s="19">
        <f t="shared" si="9"/>
        <v>140000000</v>
      </c>
      <c r="N17" s="19">
        <f t="shared" si="9"/>
        <v>140000000</v>
      </c>
      <c r="O17" s="19">
        <f t="shared" si="9"/>
        <v>140000000</v>
      </c>
      <c r="P17" s="19">
        <f t="shared" si="9"/>
        <v>140000000</v>
      </c>
      <c r="Q17" s="19">
        <f t="shared" si="9"/>
        <v>140000000</v>
      </c>
      <c r="R17" s="19">
        <f t="shared" si="9"/>
        <v>140000000</v>
      </c>
      <c r="S17" s="19">
        <f t="shared" si="9"/>
        <v>140000000</v>
      </c>
      <c r="T17" s="19">
        <f t="shared" si="9"/>
        <v>140000000</v>
      </c>
      <c r="U17" s="19">
        <f t="shared" si="9"/>
        <v>140000000</v>
      </c>
      <c r="V17" s="19">
        <f t="shared" si="9"/>
        <v>140000000</v>
      </c>
      <c r="W17" s="19">
        <f t="shared" si="9"/>
        <v>140000000</v>
      </c>
      <c r="X17" s="19">
        <f t="shared" si="9"/>
        <v>140000000</v>
      </c>
      <c r="Y17" s="19">
        <f t="shared" si="9"/>
        <v>128333333.33333333</v>
      </c>
      <c r="Z17" s="19">
        <f t="shared" si="9"/>
        <v>117638888.88888888</v>
      </c>
      <c r="AA17" s="19">
        <f t="shared" si="9"/>
        <v>107835648.14814813</v>
      </c>
    </row>
    <row r="18" spans="1:27" x14ac:dyDescent="0.2">
      <c r="A18" s="30" t="s">
        <v>99</v>
      </c>
      <c r="B18" s="30" t="s">
        <v>138</v>
      </c>
      <c r="C18" s="38">
        <f>'Project Database'!$K$6</f>
        <v>260000000</v>
      </c>
      <c r="D18" s="38">
        <f>$C18</f>
        <v>260000000</v>
      </c>
      <c r="E18" s="38">
        <f t="shared" ref="E18:AA18" si="10">D24</f>
        <v>260000000</v>
      </c>
      <c r="F18" s="38">
        <f t="shared" si="10"/>
        <v>260000000</v>
      </c>
      <c r="G18" s="38">
        <f t="shared" si="10"/>
        <v>260000000</v>
      </c>
      <c r="H18" s="38">
        <f t="shared" si="10"/>
        <v>260000000</v>
      </c>
      <c r="I18" s="38">
        <f t="shared" si="10"/>
        <v>260000000</v>
      </c>
      <c r="J18" s="38">
        <f t="shared" si="10"/>
        <v>260000000</v>
      </c>
      <c r="K18" s="38">
        <f t="shared" si="10"/>
        <v>260000000</v>
      </c>
      <c r="L18" s="38">
        <f t="shared" si="10"/>
        <v>260000000</v>
      </c>
      <c r="M18" s="38">
        <f t="shared" si="10"/>
        <v>260000000</v>
      </c>
      <c r="N18" s="38">
        <f t="shared" si="10"/>
        <v>262061285.77915508</v>
      </c>
      <c r="O18" s="38">
        <f t="shared" si="10"/>
        <v>271525301.07269078</v>
      </c>
      <c r="P18" s="38">
        <f t="shared" si="10"/>
        <v>280947215.64325285</v>
      </c>
      <c r="Q18" s="38">
        <f t="shared" si="10"/>
        <v>290326661.19598907</v>
      </c>
      <c r="R18" s="38">
        <f t="shared" si="10"/>
        <v>299663267.46313787</v>
      </c>
      <c r="S18" s="38">
        <f t="shared" si="10"/>
        <v>299663267.46313787</v>
      </c>
      <c r="T18" s="38">
        <f t="shared" si="10"/>
        <v>299663267.46313787</v>
      </c>
      <c r="U18" s="38">
        <f t="shared" si="10"/>
        <v>299663267.46313787</v>
      </c>
      <c r="V18" s="38">
        <f t="shared" si="10"/>
        <v>299663267.46313787</v>
      </c>
      <c r="W18" s="38">
        <f t="shared" si="10"/>
        <v>299663267.46313787</v>
      </c>
      <c r="X18" s="38">
        <f t="shared" si="10"/>
        <v>299663267.46313787</v>
      </c>
      <c r="Y18" s="38">
        <f t="shared" si="10"/>
        <v>299663267.46313787</v>
      </c>
      <c r="Z18" s="38">
        <f t="shared" si="10"/>
        <v>299663267.46313787</v>
      </c>
      <c r="AA18" s="38">
        <f t="shared" si="10"/>
        <v>299663267.46313787</v>
      </c>
    </row>
    <row r="19" spans="1:27" x14ac:dyDescent="0.2">
      <c r="B19" t="s">
        <v>155</v>
      </c>
      <c r="D19" s="19">
        <f>MAX(0,'Construction Costs'!D17-Escrow!D16)</f>
        <v>0</v>
      </c>
      <c r="E19" s="19">
        <f>MAX(0,'Construction Costs'!E17-Escrow!E16)</f>
        <v>0</v>
      </c>
      <c r="F19" s="19">
        <f>MAX(0,'Construction Costs'!F17-Escrow!F16)</f>
        <v>0</v>
      </c>
      <c r="G19" s="19">
        <f>MAX(0,'Construction Costs'!G17-Escrow!G16)</f>
        <v>0</v>
      </c>
      <c r="H19" s="19">
        <f>MAX(0,'Construction Costs'!H17-Escrow!H16)</f>
        <v>0</v>
      </c>
      <c r="I19" s="19">
        <f>MAX(0,'Construction Costs'!I17-Escrow!I16)</f>
        <v>0</v>
      </c>
      <c r="J19" s="19">
        <f>MAX(0,'Construction Costs'!J17-Escrow!J16)</f>
        <v>0</v>
      </c>
      <c r="K19" s="19">
        <f>MAX(0,'Construction Costs'!K17-Escrow!K16)</f>
        <v>0</v>
      </c>
      <c r="L19" s="19">
        <f>MAX(0,'Construction Costs'!L17-Escrow!L16)</f>
        <v>0</v>
      </c>
      <c r="M19" s="19">
        <f>MAX(0,'Construction Costs'!M17-Escrow!M16)</f>
        <v>2061285.7791550756</v>
      </c>
      <c r="N19" s="19">
        <f>MAX(0,'Construction Costs'!N17-Escrow!N16)</f>
        <v>9464015.2935357168</v>
      </c>
      <c r="O19" s="19">
        <f>MAX(0,'Construction Costs'!O17-Escrow!O16)</f>
        <v>9421914.5705620944</v>
      </c>
      <c r="P19" s="19">
        <f>MAX(0,'Construction Costs'!P17-Escrow!P16)</f>
        <v>9379445.5527362153</v>
      </c>
      <c r="Q19" s="19">
        <f>MAX(0,'Construction Costs'!Q17-Escrow!Q16)</f>
        <v>9336606.2671487629</v>
      </c>
      <c r="R19" s="19">
        <f>MAX(0,'Construction Costs'!R17-Escrow!R16)</f>
        <v>0</v>
      </c>
      <c r="S19" s="19">
        <f>MAX(0,'Construction Costs'!S17-Escrow!S16)</f>
        <v>0</v>
      </c>
      <c r="T19" s="19">
        <f>MAX(0,'Construction Costs'!T17-Escrow!T16)</f>
        <v>0</v>
      </c>
      <c r="U19" s="19">
        <f>MAX(0,'Construction Costs'!U17-Escrow!U16)</f>
        <v>0</v>
      </c>
      <c r="V19" s="19">
        <f>MAX(0,'Construction Costs'!V17-Escrow!V16)</f>
        <v>0</v>
      </c>
      <c r="W19" s="19">
        <f>MAX(0,'Construction Costs'!W17-Escrow!W16)</f>
        <v>0</v>
      </c>
      <c r="X19" s="19">
        <f>MAX(0,'Construction Costs'!X17-Escrow!X16)</f>
        <v>0</v>
      </c>
      <c r="Y19" s="19">
        <f>MAX(0,'Construction Costs'!Y17-Escrow!Y16)</f>
        <v>0</v>
      </c>
      <c r="Z19" s="19">
        <f>MAX(0,'Construction Costs'!Z17-Escrow!Z16)</f>
        <v>0</v>
      </c>
      <c r="AA19" s="19">
        <f>MAX(0,'Construction Costs'!AA17-Escrow!AA16)</f>
        <v>0</v>
      </c>
    </row>
    <row r="20" spans="1:27" x14ac:dyDescent="0.2">
      <c r="B20" t="s">
        <v>156</v>
      </c>
      <c r="C20" s="18">
        <f>Assumptions!$E$7+'Scenario Toggle'!$E$13</f>
        <v>6.5000000000000002E-2</v>
      </c>
      <c r="D20" s="18">
        <f t="shared" ref="D20:AA20" si="11">$C20</f>
        <v>6.5000000000000002E-2</v>
      </c>
      <c r="E20" s="18">
        <f t="shared" si="11"/>
        <v>6.5000000000000002E-2</v>
      </c>
      <c r="F20" s="18">
        <f t="shared" si="11"/>
        <v>6.5000000000000002E-2</v>
      </c>
      <c r="G20" s="18">
        <f t="shared" si="11"/>
        <v>6.5000000000000002E-2</v>
      </c>
      <c r="H20" s="18">
        <f t="shared" si="11"/>
        <v>6.5000000000000002E-2</v>
      </c>
      <c r="I20" s="18">
        <f t="shared" si="11"/>
        <v>6.5000000000000002E-2</v>
      </c>
      <c r="J20" s="18">
        <f t="shared" si="11"/>
        <v>6.5000000000000002E-2</v>
      </c>
      <c r="K20" s="18">
        <f t="shared" si="11"/>
        <v>6.5000000000000002E-2</v>
      </c>
      <c r="L20" s="18">
        <f t="shared" si="11"/>
        <v>6.5000000000000002E-2</v>
      </c>
      <c r="M20" s="18">
        <f t="shared" si="11"/>
        <v>6.5000000000000002E-2</v>
      </c>
      <c r="N20" s="18">
        <f t="shared" si="11"/>
        <v>6.5000000000000002E-2</v>
      </c>
      <c r="O20" s="18">
        <f t="shared" si="11"/>
        <v>6.5000000000000002E-2</v>
      </c>
      <c r="P20" s="18">
        <f t="shared" si="11"/>
        <v>6.5000000000000002E-2</v>
      </c>
      <c r="Q20" s="18">
        <f t="shared" si="11"/>
        <v>6.5000000000000002E-2</v>
      </c>
      <c r="R20" s="18">
        <f t="shared" si="11"/>
        <v>6.5000000000000002E-2</v>
      </c>
      <c r="S20" s="18">
        <f t="shared" si="11"/>
        <v>6.5000000000000002E-2</v>
      </c>
      <c r="T20" s="18">
        <f t="shared" si="11"/>
        <v>6.5000000000000002E-2</v>
      </c>
      <c r="U20" s="18">
        <f t="shared" si="11"/>
        <v>6.5000000000000002E-2</v>
      </c>
      <c r="V20" s="18">
        <f t="shared" si="11"/>
        <v>6.5000000000000002E-2</v>
      </c>
      <c r="W20" s="18">
        <f t="shared" si="11"/>
        <v>6.5000000000000002E-2</v>
      </c>
      <c r="X20" s="18">
        <f t="shared" si="11"/>
        <v>6.5000000000000002E-2</v>
      </c>
      <c r="Y20" s="18">
        <f t="shared" si="11"/>
        <v>6.5000000000000002E-2</v>
      </c>
      <c r="Z20" s="18">
        <f t="shared" si="11"/>
        <v>6.5000000000000002E-2</v>
      </c>
      <c r="AA20" s="18">
        <f t="shared" si="11"/>
        <v>6.5000000000000002E-2</v>
      </c>
    </row>
    <row r="21" spans="1:27" x14ac:dyDescent="0.2">
      <c r="B21" t="s">
        <v>157</v>
      </c>
      <c r="D21" s="19">
        <f t="shared" ref="D21:AA21" si="12">D18*D20/12</f>
        <v>1408333.3333333333</v>
      </c>
      <c r="E21" s="19">
        <f t="shared" si="12"/>
        <v>1408333.3333333333</v>
      </c>
      <c r="F21" s="19">
        <f t="shared" si="12"/>
        <v>1408333.3333333333</v>
      </c>
      <c r="G21" s="19">
        <f t="shared" si="12"/>
        <v>1408333.3333333333</v>
      </c>
      <c r="H21" s="19">
        <f t="shared" si="12"/>
        <v>1408333.3333333333</v>
      </c>
      <c r="I21" s="19">
        <f t="shared" si="12"/>
        <v>1408333.3333333333</v>
      </c>
      <c r="J21" s="19">
        <f t="shared" si="12"/>
        <v>1408333.3333333333</v>
      </c>
      <c r="K21" s="19">
        <f t="shared" si="12"/>
        <v>1408333.3333333333</v>
      </c>
      <c r="L21" s="19">
        <f t="shared" si="12"/>
        <v>1408333.3333333333</v>
      </c>
      <c r="M21" s="19">
        <f t="shared" si="12"/>
        <v>1408333.3333333333</v>
      </c>
      <c r="N21" s="19">
        <f t="shared" si="12"/>
        <v>1419498.6313037567</v>
      </c>
      <c r="O21" s="19">
        <f t="shared" si="12"/>
        <v>1470762.0474770751</v>
      </c>
      <c r="P21" s="19">
        <f t="shared" si="12"/>
        <v>1521797.4180676194</v>
      </c>
      <c r="Q21" s="19">
        <f t="shared" si="12"/>
        <v>1572602.7481449407</v>
      </c>
      <c r="R21" s="19">
        <f t="shared" si="12"/>
        <v>1623176.0320919969</v>
      </c>
      <c r="S21" s="19">
        <f t="shared" si="12"/>
        <v>1623176.0320919969</v>
      </c>
      <c r="T21" s="19">
        <f t="shared" si="12"/>
        <v>1623176.0320919969</v>
      </c>
      <c r="U21" s="19">
        <f t="shared" si="12"/>
        <v>1623176.0320919969</v>
      </c>
      <c r="V21" s="19">
        <f t="shared" si="12"/>
        <v>1623176.0320919969</v>
      </c>
      <c r="W21" s="19">
        <f t="shared" si="12"/>
        <v>1623176.0320919969</v>
      </c>
      <c r="X21" s="19">
        <f t="shared" si="12"/>
        <v>1623176.0320919969</v>
      </c>
      <c r="Y21" s="19">
        <f t="shared" si="12"/>
        <v>1623176.0320919969</v>
      </c>
      <c r="Z21" s="19">
        <f t="shared" si="12"/>
        <v>1623176.0320919969</v>
      </c>
      <c r="AA21" s="19">
        <f t="shared" si="12"/>
        <v>1623176.0320919969</v>
      </c>
    </row>
    <row r="22" spans="1:27" x14ac:dyDescent="0.2">
      <c r="B22" t="s">
        <v>158</v>
      </c>
      <c r="D22" s="19">
        <f t="shared" ref="D22:AA22" si="13">D21</f>
        <v>1408333.3333333333</v>
      </c>
      <c r="E22" s="19">
        <f t="shared" si="13"/>
        <v>1408333.3333333333</v>
      </c>
      <c r="F22" s="19">
        <f t="shared" si="13"/>
        <v>1408333.3333333333</v>
      </c>
      <c r="G22" s="19">
        <f t="shared" si="13"/>
        <v>1408333.3333333333</v>
      </c>
      <c r="H22" s="19">
        <f t="shared" si="13"/>
        <v>1408333.3333333333</v>
      </c>
      <c r="I22" s="19">
        <f t="shared" si="13"/>
        <v>1408333.3333333333</v>
      </c>
      <c r="J22" s="19">
        <f t="shared" si="13"/>
        <v>1408333.3333333333</v>
      </c>
      <c r="K22" s="19">
        <f t="shared" si="13"/>
        <v>1408333.3333333333</v>
      </c>
      <c r="L22" s="19">
        <f t="shared" si="13"/>
        <v>1408333.3333333333</v>
      </c>
      <c r="M22" s="19">
        <f t="shared" si="13"/>
        <v>1408333.3333333333</v>
      </c>
      <c r="N22" s="19">
        <f t="shared" si="13"/>
        <v>1419498.6313037567</v>
      </c>
      <c r="O22" s="19">
        <f t="shared" si="13"/>
        <v>1470762.0474770751</v>
      </c>
      <c r="P22" s="19">
        <f t="shared" si="13"/>
        <v>1521797.4180676194</v>
      </c>
      <c r="Q22" s="19">
        <f t="shared" si="13"/>
        <v>1572602.7481449407</v>
      </c>
      <c r="R22" s="19">
        <f t="shared" si="13"/>
        <v>1623176.0320919969</v>
      </c>
      <c r="S22" s="19">
        <f t="shared" si="13"/>
        <v>1623176.0320919969</v>
      </c>
      <c r="T22" s="19">
        <f t="shared" si="13"/>
        <v>1623176.0320919969</v>
      </c>
      <c r="U22" s="19">
        <f t="shared" si="13"/>
        <v>1623176.0320919969</v>
      </c>
      <c r="V22" s="19">
        <f t="shared" si="13"/>
        <v>1623176.0320919969</v>
      </c>
      <c r="W22" s="19">
        <f t="shared" si="13"/>
        <v>1623176.0320919969</v>
      </c>
      <c r="X22" s="19">
        <f t="shared" si="13"/>
        <v>1623176.0320919969</v>
      </c>
      <c r="Y22" s="19">
        <f t="shared" si="13"/>
        <v>1623176.0320919969</v>
      </c>
      <c r="Z22" s="19">
        <f t="shared" si="13"/>
        <v>1623176.0320919969</v>
      </c>
      <c r="AA22" s="19">
        <f t="shared" si="13"/>
        <v>1623176.0320919969</v>
      </c>
    </row>
    <row r="23" spans="1:27" x14ac:dyDescent="0.2">
      <c r="B23" t="s">
        <v>159</v>
      </c>
      <c r="D23" s="19">
        <f>IF(D$3&gt;EDATE('Project Database'!$E$6,ROUND('Scenario Toggle'!$E$12,0)),MIN((D18+D19)/12,D18+D19),0)</f>
        <v>0</v>
      </c>
      <c r="E23" s="19">
        <f>IF(E$3&gt;EDATE('Project Database'!$E$6,ROUND('Scenario Toggle'!$E$12,0)),MIN((E18+E19)/12,E18+E19),0)</f>
        <v>0</v>
      </c>
      <c r="F23" s="19">
        <f>IF(F$3&gt;EDATE('Project Database'!$E$6,ROUND('Scenario Toggle'!$E$12,0)),MIN((F18+F19)/12,F18+F19),0)</f>
        <v>0</v>
      </c>
      <c r="G23" s="19">
        <f>IF(G$3&gt;EDATE('Project Database'!$E$6,ROUND('Scenario Toggle'!$E$12,0)),MIN((G18+G19)/12,G18+G19),0)</f>
        <v>0</v>
      </c>
      <c r="H23" s="19">
        <f>IF(H$3&gt;EDATE('Project Database'!$E$6,ROUND('Scenario Toggle'!$E$12,0)),MIN((H18+H19)/12,H18+H19),0)</f>
        <v>0</v>
      </c>
      <c r="I23" s="19">
        <f>IF(I$3&gt;EDATE('Project Database'!$E$6,ROUND('Scenario Toggle'!$E$12,0)),MIN((I18+I19)/12,I18+I19),0)</f>
        <v>0</v>
      </c>
      <c r="J23" s="19">
        <f>IF(J$3&gt;EDATE('Project Database'!$E$6,ROUND('Scenario Toggle'!$E$12,0)),MIN((J18+J19)/12,J18+J19),0)</f>
        <v>0</v>
      </c>
      <c r="K23" s="19">
        <f>IF(K$3&gt;EDATE('Project Database'!$E$6,ROUND('Scenario Toggle'!$E$12,0)),MIN((K18+K19)/12,K18+K19),0)</f>
        <v>0</v>
      </c>
      <c r="L23" s="19">
        <f>IF(L$3&gt;EDATE('Project Database'!$E$6,ROUND('Scenario Toggle'!$E$12,0)),MIN((L18+L19)/12,L18+L19),0)</f>
        <v>0</v>
      </c>
      <c r="M23" s="19">
        <f>IF(M$3&gt;EDATE('Project Database'!$E$6,ROUND('Scenario Toggle'!$E$12,0)),MIN((M18+M19)/12,M18+M19),0)</f>
        <v>0</v>
      </c>
      <c r="N23" s="19">
        <f>IF(N$3&gt;EDATE('Project Database'!$E$6,ROUND('Scenario Toggle'!$E$12,0)),MIN((N18+N19)/12,N18+N19),0)</f>
        <v>0</v>
      </c>
      <c r="O23" s="19">
        <f>IF(O$3&gt;EDATE('Project Database'!$E$6,ROUND('Scenario Toggle'!$E$12,0)),MIN((O18+O19)/12,O18+O19),0)</f>
        <v>0</v>
      </c>
      <c r="P23" s="19">
        <f>IF(P$3&gt;EDATE('Project Database'!$E$6,ROUND('Scenario Toggle'!$E$12,0)),MIN((P18+P19)/12,P18+P19),0)</f>
        <v>0</v>
      </c>
      <c r="Q23" s="19">
        <f>IF(Q$3&gt;EDATE('Project Database'!$E$6,ROUND('Scenario Toggle'!$E$12,0)),MIN((Q18+Q19)/12,Q18+Q19),0)</f>
        <v>0</v>
      </c>
      <c r="R23" s="19">
        <f>IF(R$3&gt;EDATE('Project Database'!$E$6,ROUND('Scenario Toggle'!$E$12,0)),MIN((R18+R19)/12,R18+R19),0)</f>
        <v>0</v>
      </c>
      <c r="S23" s="19">
        <f>IF(S$3&gt;EDATE('Project Database'!$E$6,ROUND('Scenario Toggle'!$E$12,0)),MIN((S18+S19)/12,S18+S19),0)</f>
        <v>0</v>
      </c>
      <c r="T23" s="19">
        <f>IF(T$3&gt;EDATE('Project Database'!$E$6,ROUND('Scenario Toggle'!$E$12,0)),MIN((T18+T19)/12,T18+T19),0)</f>
        <v>0</v>
      </c>
      <c r="U23" s="19">
        <f>IF(U$3&gt;EDATE('Project Database'!$E$6,ROUND('Scenario Toggle'!$E$12,0)),MIN((U18+U19)/12,U18+U19),0)</f>
        <v>0</v>
      </c>
      <c r="V23" s="19">
        <f>IF(V$3&gt;EDATE('Project Database'!$E$6,ROUND('Scenario Toggle'!$E$12,0)),MIN((V18+V19)/12,V18+V19),0)</f>
        <v>0</v>
      </c>
      <c r="W23" s="19">
        <f>IF(W$3&gt;EDATE('Project Database'!$E$6,ROUND('Scenario Toggle'!$E$12,0)),MIN((W18+W19)/12,W18+W19),0)</f>
        <v>0</v>
      </c>
      <c r="X23" s="19">
        <f>IF(X$3&gt;EDATE('Project Database'!$E$6,ROUND('Scenario Toggle'!$E$12,0)),MIN((X18+X19)/12,X18+X19),0)</f>
        <v>0</v>
      </c>
      <c r="Y23" s="19">
        <f>IF(Y$3&gt;EDATE('Project Database'!$E$6,ROUND('Scenario Toggle'!$E$12,0)),MIN((Y18+Y19)/12,Y18+Y19),0)</f>
        <v>0</v>
      </c>
      <c r="Z23" s="19">
        <f>IF(Z$3&gt;EDATE('Project Database'!$E$6,ROUND('Scenario Toggle'!$E$12,0)),MIN((Z18+Z19)/12,Z18+Z19),0)</f>
        <v>0</v>
      </c>
      <c r="AA23" s="19">
        <f>IF(AA$3&gt;EDATE('Project Database'!$E$6,ROUND('Scenario Toggle'!$E$12,0)),MIN((AA18+AA19)/12,AA18+AA19),0)</f>
        <v>0</v>
      </c>
    </row>
    <row r="24" spans="1:27" x14ac:dyDescent="0.2">
      <c r="B24" t="s">
        <v>141</v>
      </c>
      <c r="D24" s="19">
        <f t="shared" ref="D24:AA24" si="14">MAX(0,D18+D19+D21-D22-D23)</f>
        <v>260000000</v>
      </c>
      <c r="E24" s="19">
        <f t="shared" si="14"/>
        <v>260000000</v>
      </c>
      <c r="F24" s="19">
        <f t="shared" si="14"/>
        <v>260000000</v>
      </c>
      <c r="G24" s="19">
        <f t="shared" si="14"/>
        <v>260000000</v>
      </c>
      <c r="H24" s="19">
        <f t="shared" si="14"/>
        <v>260000000</v>
      </c>
      <c r="I24" s="19">
        <f t="shared" si="14"/>
        <v>260000000</v>
      </c>
      <c r="J24" s="19">
        <f t="shared" si="14"/>
        <v>260000000</v>
      </c>
      <c r="K24" s="19">
        <f t="shared" si="14"/>
        <v>260000000</v>
      </c>
      <c r="L24" s="19">
        <f t="shared" si="14"/>
        <v>260000000</v>
      </c>
      <c r="M24" s="19">
        <f t="shared" si="14"/>
        <v>262061285.77915508</v>
      </c>
      <c r="N24" s="19">
        <f t="shared" si="14"/>
        <v>271525301.07269078</v>
      </c>
      <c r="O24" s="19">
        <f t="shared" si="14"/>
        <v>280947215.64325285</v>
      </c>
      <c r="P24" s="19">
        <f t="shared" si="14"/>
        <v>290326661.19598907</v>
      </c>
      <c r="Q24" s="19">
        <f t="shared" si="14"/>
        <v>299663267.46313787</v>
      </c>
      <c r="R24" s="19">
        <f t="shared" si="14"/>
        <v>299663267.46313787</v>
      </c>
      <c r="S24" s="19">
        <f t="shared" si="14"/>
        <v>299663267.46313787</v>
      </c>
      <c r="T24" s="19">
        <f t="shared" si="14"/>
        <v>299663267.46313787</v>
      </c>
      <c r="U24" s="19">
        <f t="shared" si="14"/>
        <v>299663267.46313787</v>
      </c>
      <c r="V24" s="19">
        <f t="shared" si="14"/>
        <v>299663267.46313787</v>
      </c>
      <c r="W24" s="19">
        <f t="shared" si="14"/>
        <v>299663267.46313787</v>
      </c>
      <c r="X24" s="19">
        <f t="shared" si="14"/>
        <v>299663267.46313787</v>
      </c>
      <c r="Y24" s="19">
        <f t="shared" si="14"/>
        <v>299663267.46313787</v>
      </c>
      <c r="Z24" s="19">
        <f t="shared" si="14"/>
        <v>299663267.46313787</v>
      </c>
      <c r="AA24" s="19">
        <f t="shared" si="14"/>
        <v>299663267.46313787</v>
      </c>
    </row>
    <row r="25" spans="1:27" x14ac:dyDescent="0.2">
      <c r="A25" s="30" t="s">
        <v>101</v>
      </c>
      <c r="B25" s="30" t="s">
        <v>138</v>
      </c>
      <c r="C25" s="38">
        <f>'Project Database'!$K$7</f>
        <v>180000000</v>
      </c>
      <c r="D25" s="38">
        <f>$C25</f>
        <v>180000000</v>
      </c>
      <c r="E25" s="38">
        <f t="shared" ref="E25:AA25" si="15">D31</f>
        <v>180000000</v>
      </c>
      <c r="F25" s="38">
        <f t="shared" si="15"/>
        <v>180000000</v>
      </c>
      <c r="G25" s="38">
        <f t="shared" si="15"/>
        <v>180000000</v>
      </c>
      <c r="H25" s="38">
        <f t="shared" si="15"/>
        <v>180000000</v>
      </c>
      <c r="I25" s="38">
        <f t="shared" si="15"/>
        <v>180000000</v>
      </c>
      <c r="J25" s="38">
        <f t="shared" si="15"/>
        <v>180000000</v>
      </c>
      <c r="K25" s="38">
        <f t="shared" si="15"/>
        <v>207514887.03022334</v>
      </c>
      <c r="L25" s="38">
        <f t="shared" si="15"/>
        <v>223154299.96943188</v>
      </c>
      <c r="M25" s="38">
        <f t="shared" si="15"/>
        <v>238794793.54197019</v>
      </c>
      <c r="N25" s="38">
        <f t="shared" si="15"/>
        <v>254436218.37782556</v>
      </c>
      <c r="O25" s="38">
        <f t="shared" si="15"/>
        <v>270078424.12527382</v>
      </c>
      <c r="P25" s="38">
        <f t="shared" si="15"/>
        <v>285721259.44599193</v>
      </c>
      <c r="Q25" s="38">
        <f t="shared" si="15"/>
        <v>301364572.0101487</v>
      </c>
      <c r="R25" s="38">
        <f t="shared" si="15"/>
        <v>304487336.49147326</v>
      </c>
      <c r="S25" s="38">
        <f t="shared" si="15"/>
        <v>307560187.0743016</v>
      </c>
      <c r="T25" s="38">
        <f t="shared" si="15"/>
        <v>310582768.09064859</v>
      </c>
      <c r="U25" s="38">
        <f t="shared" si="15"/>
        <v>313554722.05982637</v>
      </c>
      <c r="V25" s="38">
        <f t="shared" si="15"/>
        <v>316475689.6802181</v>
      </c>
      <c r="W25" s="38">
        <f t="shared" si="15"/>
        <v>319345309.82101703</v>
      </c>
      <c r="X25" s="38">
        <f t="shared" si="15"/>
        <v>319345309.82101703</v>
      </c>
      <c r="Y25" s="38">
        <f t="shared" si="15"/>
        <v>319345309.82101703</v>
      </c>
      <c r="Z25" s="38">
        <f t="shared" si="15"/>
        <v>319345309.82101703</v>
      </c>
      <c r="AA25" s="38">
        <f t="shared" si="15"/>
        <v>319345309.82101703</v>
      </c>
    </row>
    <row r="26" spans="1:27" x14ac:dyDescent="0.2">
      <c r="B26" t="s">
        <v>155</v>
      </c>
      <c r="D26" s="19">
        <f>MAX(0,'Construction Costs'!D23-Escrow!D21)</f>
        <v>0</v>
      </c>
      <c r="E26" s="19">
        <f>MAX(0,'Construction Costs'!E23-Escrow!E21)</f>
        <v>0</v>
      </c>
      <c r="F26" s="19">
        <f>MAX(0,'Construction Costs'!F23-Escrow!F21)</f>
        <v>0</v>
      </c>
      <c r="G26" s="19">
        <f>MAX(0,'Construction Costs'!G23-Escrow!G21)</f>
        <v>0</v>
      </c>
      <c r="H26" s="19">
        <f>MAX(0,'Construction Costs'!H23-Escrow!H21)</f>
        <v>0</v>
      </c>
      <c r="I26" s="19">
        <f>MAX(0,'Construction Costs'!I23-Escrow!I21)</f>
        <v>0</v>
      </c>
      <c r="J26" s="19">
        <f>MAX(0,'Construction Costs'!J23-Escrow!J21)</f>
        <v>27514887.030223347</v>
      </c>
      <c r="K26" s="19">
        <f>MAX(0,'Construction Costs'!K23-Escrow!K21)</f>
        <v>15639412.939208552</v>
      </c>
      <c r="L26" s="19">
        <f>MAX(0,'Construction Costs'!L23-Escrow!L21)</f>
        <v>15640493.572538327</v>
      </c>
      <c r="M26" s="19">
        <f>MAX(0,'Construction Costs'!M23-Escrow!M21)</f>
        <v>15641424.835855369</v>
      </c>
      <c r="N26" s="19">
        <f>MAX(0,'Construction Costs'!N23-Escrow!N21)</f>
        <v>15642205.747448243</v>
      </c>
      <c r="O26" s="19">
        <f>MAX(0,'Construction Costs'!O23-Escrow!O21)</f>
        <v>15642835.320718125</v>
      </c>
      <c r="P26" s="19">
        <f>MAX(0,'Construction Costs'!P23-Escrow!P21)</f>
        <v>15643312.564156771</v>
      </c>
      <c r="Q26" s="19">
        <f>MAX(0,'Construction Costs'!Q23-Escrow!Q21)</f>
        <v>3122764.4813245684</v>
      </c>
      <c r="R26" s="19">
        <f>MAX(0,'Construction Costs'!R23-Escrow!R21)</f>
        <v>3072850.5828283131</v>
      </c>
      <c r="S26" s="19">
        <f>MAX(0,'Construction Costs'!S23-Escrow!S21)</f>
        <v>3022581.0163469985</v>
      </c>
      <c r="T26" s="19">
        <f>MAX(0,'Construction Costs'!T23-Escrow!T21)</f>
        <v>2971953.9691777527</v>
      </c>
      <c r="U26" s="19">
        <f>MAX(0,'Construction Costs'!U23-Escrow!U21)</f>
        <v>2920967.6203917339</v>
      </c>
      <c r="V26" s="19">
        <f>MAX(0,'Construction Costs'!V23-Escrow!V21)</f>
        <v>2869620.1407989338</v>
      </c>
      <c r="W26" s="19">
        <f>MAX(0,'Construction Costs'!W23-Escrow!W21)</f>
        <v>0</v>
      </c>
      <c r="X26" s="19">
        <f>MAX(0,'Construction Costs'!X23-Escrow!X21)</f>
        <v>0</v>
      </c>
      <c r="Y26" s="19">
        <f>MAX(0,'Construction Costs'!Y23-Escrow!Y21)</f>
        <v>0</v>
      </c>
      <c r="Z26" s="19">
        <f>MAX(0,'Construction Costs'!Z23-Escrow!Z21)</f>
        <v>0</v>
      </c>
      <c r="AA26" s="19">
        <f>MAX(0,'Construction Costs'!AA23-Escrow!AA21)</f>
        <v>0</v>
      </c>
    </row>
    <row r="27" spans="1:27" x14ac:dyDescent="0.2">
      <c r="B27" t="s">
        <v>156</v>
      </c>
      <c r="C27" s="18">
        <f>Assumptions!$E$7+'Scenario Toggle'!$E$13</f>
        <v>6.5000000000000002E-2</v>
      </c>
      <c r="D27" s="18">
        <f t="shared" ref="D27:AA27" si="16">$C27</f>
        <v>6.5000000000000002E-2</v>
      </c>
      <c r="E27" s="18">
        <f t="shared" si="16"/>
        <v>6.5000000000000002E-2</v>
      </c>
      <c r="F27" s="18">
        <f t="shared" si="16"/>
        <v>6.5000000000000002E-2</v>
      </c>
      <c r="G27" s="18">
        <f t="shared" si="16"/>
        <v>6.5000000000000002E-2</v>
      </c>
      <c r="H27" s="18">
        <f t="shared" si="16"/>
        <v>6.5000000000000002E-2</v>
      </c>
      <c r="I27" s="18">
        <f t="shared" si="16"/>
        <v>6.5000000000000002E-2</v>
      </c>
      <c r="J27" s="18">
        <f t="shared" si="16"/>
        <v>6.5000000000000002E-2</v>
      </c>
      <c r="K27" s="18">
        <f t="shared" si="16"/>
        <v>6.5000000000000002E-2</v>
      </c>
      <c r="L27" s="18">
        <f t="shared" si="16"/>
        <v>6.5000000000000002E-2</v>
      </c>
      <c r="M27" s="18">
        <f t="shared" si="16"/>
        <v>6.5000000000000002E-2</v>
      </c>
      <c r="N27" s="18">
        <f t="shared" si="16"/>
        <v>6.5000000000000002E-2</v>
      </c>
      <c r="O27" s="18">
        <f t="shared" si="16"/>
        <v>6.5000000000000002E-2</v>
      </c>
      <c r="P27" s="18">
        <f t="shared" si="16"/>
        <v>6.5000000000000002E-2</v>
      </c>
      <c r="Q27" s="18">
        <f t="shared" si="16"/>
        <v>6.5000000000000002E-2</v>
      </c>
      <c r="R27" s="18">
        <f t="shared" si="16"/>
        <v>6.5000000000000002E-2</v>
      </c>
      <c r="S27" s="18">
        <f t="shared" si="16"/>
        <v>6.5000000000000002E-2</v>
      </c>
      <c r="T27" s="18">
        <f t="shared" si="16"/>
        <v>6.5000000000000002E-2</v>
      </c>
      <c r="U27" s="18">
        <f t="shared" si="16"/>
        <v>6.5000000000000002E-2</v>
      </c>
      <c r="V27" s="18">
        <f t="shared" si="16"/>
        <v>6.5000000000000002E-2</v>
      </c>
      <c r="W27" s="18">
        <f t="shared" si="16"/>
        <v>6.5000000000000002E-2</v>
      </c>
      <c r="X27" s="18">
        <f t="shared" si="16"/>
        <v>6.5000000000000002E-2</v>
      </c>
      <c r="Y27" s="18">
        <f t="shared" si="16"/>
        <v>6.5000000000000002E-2</v>
      </c>
      <c r="Z27" s="18">
        <f t="shared" si="16"/>
        <v>6.5000000000000002E-2</v>
      </c>
      <c r="AA27" s="18">
        <f t="shared" si="16"/>
        <v>6.5000000000000002E-2</v>
      </c>
    </row>
    <row r="28" spans="1:27" x14ac:dyDescent="0.2">
      <c r="B28" t="s">
        <v>157</v>
      </c>
      <c r="D28" s="19">
        <f t="shared" ref="D28:AA28" si="17">D25*D27/12</f>
        <v>975000</v>
      </c>
      <c r="E28" s="19">
        <f t="shared" si="17"/>
        <v>975000</v>
      </c>
      <c r="F28" s="19">
        <f t="shared" si="17"/>
        <v>975000</v>
      </c>
      <c r="G28" s="19">
        <f t="shared" si="17"/>
        <v>975000</v>
      </c>
      <c r="H28" s="19">
        <f t="shared" si="17"/>
        <v>975000</v>
      </c>
      <c r="I28" s="19">
        <f t="shared" si="17"/>
        <v>975000</v>
      </c>
      <c r="J28" s="19">
        <f t="shared" si="17"/>
        <v>975000</v>
      </c>
      <c r="K28" s="19">
        <f t="shared" si="17"/>
        <v>1124038.9714137099</v>
      </c>
      <c r="L28" s="19">
        <f t="shared" si="17"/>
        <v>1208752.458167756</v>
      </c>
      <c r="M28" s="19">
        <f t="shared" si="17"/>
        <v>1293471.7983523386</v>
      </c>
      <c r="N28" s="19">
        <f t="shared" si="17"/>
        <v>1378196.1828798885</v>
      </c>
      <c r="O28" s="19">
        <f t="shared" si="17"/>
        <v>1462924.7973452331</v>
      </c>
      <c r="P28" s="19">
        <f t="shared" si="17"/>
        <v>1547656.8219991231</v>
      </c>
      <c r="Q28" s="19">
        <f t="shared" si="17"/>
        <v>1632391.4317216389</v>
      </c>
      <c r="R28" s="19">
        <f t="shared" si="17"/>
        <v>1649306.40599548</v>
      </c>
      <c r="S28" s="19">
        <f t="shared" si="17"/>
        <v>1665951.0133191338</v>
      </c>
      <c r="T28" s="19">
        <f t="shared" si="17"/>
        <v>1682323.3271576799</v>
      </c>
      <c r="U28" s="19">
        <f t="shared" si="17"/>
        <v>1698421.4111573929</v>
      </c>
      <c r="V28" s="19">
        <f t="shared" si="17"/>
        <v>1714243.3191011816</v>
      </c>
      <c r="W28" s="19">
        <f t="shared" si="17"/>
        <v>1729787.0948638422</v>
      </c>
      <c r="X28" s="19">
        <f t="shared" si="17"/>
        <v>1729787.0948638422</v>
      </c>
      <c r="Y28" s="19">
        <f t="shared" si="17"/>
        <v>1729787.0948638422</v>
      </c>
      <c r="Z28" s="19">
        <f t="shared" si="17"/>
        <v>1729787.0948638422</v>
      </c>
      <c r="AA28" s="19">
        <f t="shared" si="17"/>
        <v>1729787.0948638422</v>
      </c>
    </row>
    <row r="29" spans="1:27" x14ac:dyDescent="0.2">
      <c r="B29" t="s">
        <v>158</v>
      </c>
      <c r="D29" s="19">
        <f t="shared" ref="D29:AA29" si="18">D28</f>
        <v>975000</v>
      </c>
      <c r="E29" s="19">
        <f t="shared" si="18"/>
        <v>975000</v>
      </c>
      <c r="F29" s="19">
        <f t="shared" si="18"/>
        <v>975000</v>
      </c>
      <c r="G29" s="19">
        <f t="shared" si="18"/>
        <v>975000</v>
      </c>
      <c r="H29" s="19">
        <f t="shared" si="18"/>
        <v>975000</v>
      </c>
      <c r="I29" s="19">
        <f t="shared" si="18"/>
        <v>975000</v>
      </c>
      <c r="J29" s="19">
        <f t="shared" si="18"/>
        <v>975000</v>
      </c>
      <c r="K29" s="19">
        <f t="shared" si="18"/>
        <v>1124038.9714137099</v>
      </c>
      <c r="L29" s="19">
        <f t="shared" si="18"/>
        <v>1208752.458167756</v>
      </c>
      <c r="M29" s="19">
        <f t="shared" si="18"/>
        <v>1293471.7983523386</v>
      </c>
      <c r="N29" s="19">
        <f t="shared" si="18"/>
        <v>1378196.1828798885</v>
      </c>
      <c r="O29" s="19">
        <f t="shared" si="18"/>
        <v>1462924.7973452331</v>
      </c>
      <c r="P29" s="19">
        <f t="shared" si="18"/>
        <v>1547656.8219991231</v>
      </c>
      <c r="Q29" s="19">
        <f t="shared" si="18"/>
        <v>1632391.4317216389</v>
      </c>
      <c r="R29" s="19">
        <f t="shared" si="18"/>
        <v>1649306.40599548</v>
      </c>
      <c r="S29" s="19">
        <f t="shared" si="18"/>
        <v>1665951.0133191338</v>
      </c>
      <c r="T29" s="19">
        <f t="shared" si="18"/>
        <v>1682323.3271576799</v>
      </c>
      <c r="U29" s="19">
        <f t="shared" si="18"/>
        <v>1698421.4111573929</v>
      </c>
      <c r="V29" s="19">
        <f t="shared" si="18"/>
        <v>1714243.3191011816</v>
      </c>
      <c r="W29" s="19">
        <f t="shared" si="18"/>
        <v>1729787.0948638422</v>
      </c>
      <c r="X29" s="19">
        <f t="shared" si="18"/>
        <v>1729787.0948638422</v>
      </c>
      <c r="Y29" s="19">
        <f t="shared" si="18"/>
        <v>1729787.0948638422</v>
      </c>
      <c r="Z29" s="19">
        <f t="shared" si="18"/>
        <v>1729787.0948638422</v>
      </c>
      <c r="AA29" s="19">
        <f t="shared" si="18"/>
        <v>1729787.0948638422</v>
      </c>
    </row>
    <row r="30" spans="1:27" x14ac:dyDescent="0.2">
      <c r="B30" t="s">
        <v>159</v>
      </c>
      <c r="D30" s="19">
        <f>IF(D$3&gt;EDATE('Project Database'!$E$7,ROUND('Scenario Toggle'!$E$12,0)),MIN((D25+D26)/12,D25+D26),0)</f>
        <v>0</v>
      </c>
      <c r="E30" s="19">
        <f>IF(E$3&gt;EDATE('Project Database'!$E$7,ROUND('Scenario Toggle'!$E$12,0)),MIN((E25+E26)/12,E25+E26),0)</f>
        <v>0</v>
      </c>
      <c r="F30" s="19">
        <f>IF(F$3&gt;EDATE('Project Database'!$E$7,ROUND('Scenario Toggle'!$E$12,0)),MIN((F25+F26)/12,F25+F26),0)</f>
        <v>0</v>
      </c>
      <c r="G30" s="19">
        <f>IF(G$3&gt;EDATE('Project Database'!$E$7,ROUND('Scenario Toggle'!$E$12,0)),MIN((G25+G26)/12,G25+G26),0)</f>
        <v>0</v>
      </c>
      <c r="H30" s="19">
        <f>IF(H$3&gt;EDATE('Project Database'!$E$7,ROUND('Scenario Toggle'!$E$12,0)),MIN((H25+H26)/12,H25+H26),0)</f>
        <v>0</v>
      </c>
      <c r="I30" s="19">
        <f>IF(I$3&gt;EDATE('Project Database'!$E$7,ROUND('Scenario Toggle'!$E$12,0)),MIN((I25+I26)/12,I25+I26),0)</f>
        <v>0</v>
      </c>
      <c r="J30" s="19">
        <f>IF(J$3&gt;EDATE('Project Database'!$E$7,ROUND('Scenario Toggle'!$E$12,0)),MIN((J25+J26)/12,J25+J26),0)</f>
        <v>0</v>
      </c>
      <c r="K30" s="19">
        <f>IF(K$3&gt;EDATE('Project Database'!$E$7,ROUND('Scenario Toggle'!$E$12,0)),MIN((K25+K26)/12,K25+K26),0)</f>
        <v>0</v>
      </c>
      <c r="L30" s="19">
        <f>IF(L$3&gt;EDATE('Project Database'!$E$7,ROUND('Scenario Toggle'!$E$12,0)),MIN((L25+L26)/12,L25+L26),0)</f>
        <v>0</v>
      </c>
      <c r="M30" s="19">
        <f>IF(M$3&gt;EDATE('Project Database'!$E$7,ROUND('Scenario Toggle'!$E$12,0)),MIN((M25+M26)/12,M25+M26),0)</f>
        <v>0</v>
      </c>
      <c r="N30" s="19">
        <f>IF(N$3&gt;EDATE('Project Database'!$E$7,ROUND('Scenario Toggle'!$E$12,0)),MIN((N25+N26)/12,N25+N26),0)</f>
        <v>0</v>
      </c>
      <c r="O30" s="19">
        <f>IF(O$3&gt;EDATE('Project Database'!$E$7,ROUND('Scenario Toggle'!$E$12,0)),MIN((O25+O26)/12,O25+O26),0)</f>
        <v>0</v>
      </c>
      <c r="P30" s="19">
        <f>IF(P$3&gt;EDATE('Project Database'!$E$7,ROUND('Scenario Toggle'!$E$12,0)),MIN((P25+P26)/12,P25+P26),0)</f>
        <v>0</v>
      </c>
      <c r="Q30" s="19">
        <f>IF(Q$3&gt;EDATE('Project Database'!$E$7,ROUND('Scenario Toggle'!$E$12,0)),MIN((Q25+Q26)/12,Q25+Q26),0)</f>
        <v>0</v>
      </c>
      <c r="R30" s="19">
        <f>IF(R$3&gt;EDATE('Project Database'!$E$7,ROUND('Scenario Toggle'!$E$12,0)),MIN((R25+R26)/12,R25+R26),0)</f>
        <v>0</v>
      </c>
      <c r="S30" s="19">
        <f>IF(S$3&gt;EDATE('Project Database'!$E$7,ROUND('Scenario Toggle'!$E$12,0)),MIN((S25+S26)/12,S25+S26),0)</f>
        <v>0</v>
      </c>
      <c r="T30" s="19">
        <f>IF(T$3&gt;EDATE('Project Database'!$E$7,ROUND('Scenario Toggle'!$E$12,0)),MIN((T25+T26)/12,T25+T26),0)</f>
        <v>0</v>
      </c>
      <c r="U30" s="19">
        <f>IF(U$3&gt;EDATE('Project Database'!$E$7,ROUND('Scenario Toggle'!$E$12,0)),MIN((U25+U26)/12,U25+U26),0)</f>
        <v>0</v>
      </c>
      <c r="V30" s="19">
        <f>IF(V$3&gt;EDATE('Project Database'!$E$7,ROUND('Scenario Toggle'!$E$12,0)),MIN((V25+V26)/12,V25+V26),0)</f>
        <v>0</v>
      </c>
      <c r="W30" s="19">
        <f>IF(W$3&gt;EDATE('Project Database'!$E$7,ROUND('Scenario Toggle'!$E$12,0)),MIN((W25+W26)/12,W25+W26),0)</f>
        <v>0</v>
      </c>
      <c r="X30" s="19">
        <f>IF(X$3&gt;EDATE('Project Database'!$E$7,ROUND('Scenario Toggle'!$E$12,0)),MIN((X25+X26)/12,X25+X26),0)</f>
        <v>0</v>
      </c>
      <c r="Y30" s="19">
        <f>IF(Y$3&gt;EDATE('Project Database'!$E$7,ROUND('Scenario Toggle'!$E$12,0)),MIN((Y25+Y26)/12,Y25+Y26),0)</f>
        <v>0</v>
      </c>
      <c r="Z30" s="19">
        <f>IF(Z$3&gt;EDATE('Project Database'!$E$7,ROUND('Scenario Toggle'!$E$12,0)),MIN((Z25+Z26)/12,Z25+Z26),0)</f>
        <v>0</v>
      </c>
      <c r="AA30" s="19">
        <f>IF(AA$3&gt;EDATE('Project Database'!$E$7,ROUND('Scenario Toggle'!$E$12,0)),MIN((AA25+AA26)/12,AA25+AA26),0)</f>
        <v>26612109.151751418</v>
      </c>
    </row>
    <row r="31" spans="1:27" x14ac:dyDescent="0.2">
      <c r="B31" t="s">
        <v>141</v>
      </c>
      <c r="D31" s="19">
        <f t="shared" ref="D31:AA31" si="19">MAX(0,D25+D26+D28-D29-D30)</f>
        <v>180000000</v>
      </c>
      <c r="E31" s="19">
        <f t="shared" si="19"/>
        <v>180000000</v>
      </c>
      <c r="F31" s="19">
        <f t="shared" si="19"/>
        <v>180000000</v>
      </c>
      <c r="G31" s="19">
        <f t="shared" si="19"/>
        <v>180000000</v>
      </c>
      <c r="H31" s="19">
        <f t="shared" si="19"/>
        <v>180000000</v>
      </c>
      <c r="I31" s="19">
        <f t="shared" si="19"/>
        <v>180000000</v>
      </c>
      <c r="J31" s="19">
        <f t="shared" si="19"/>
        <v>207514887.03022334</v>
      </c>
      <c r="K31" s="19">
        <f t="shared" si="19"/>
        <v>223154299.96943188</v>
      </c>
      <c r="L31" s="19">
        <f t="shared" si="19"/>
        <v>238794793.54197019</v>
      </c>
      <c r="M31" s="19">
        <f t="shared" si="19"/>
        <v>254436218.37782556</v>
      </c>
      <c r="N31" s="19">
        <f t="shared" si="19"/>
        <v>270078424.12527382</v>
      </c>
      <c r="O31" s="19">
        <f t="shared" si="19"/>
        <v>285721259.44599193</v>
      </c>
      <c r="P31" s="19">
        <f t="shared" si="19"/>
        <v>301364572.0101487</v>
      </c>
      <c r="Q31" s="19">
        <f t="shared" si="19"/>
        <v>304487336.49147326</v>
      </c>
      <c r="R31" s="19">
        <f t="shared" si="19"/>
        <v>307560187.0743016</v>
      </c>
      <c r="S31" s="19">
        <f t="shared" si="19"/>
        <v>310582768.09064859</v>
      </c>
      <c r="T31" s="19">
        <f t="shared" si="19"/>
        <v>313554722.05982637</v>
      </c>
      <c r="U31" s="19">
        <f t="shared" si="19"/>
        <v>316475689.6802181</v>
      </c>
      <c r="V31" s="19">
        <f t="shared" si="19"/>
        <v>319345309.82101703</v>
      </c>
      <c r="W31" s="19">
        <f t="shared" si="19"/>
        <v>319345309.82101703</v>
      </c>
      <c r="X31" s="19">
        <f t="shared" si="19"/>
        <v>319345309.82101703</v>
      </c>
      <c r="Y31" s="19">
        <f t="shared" si="19"/>
        <v>319345309.82101703</v>
      </c>
      <c r="Z31" s="19">
        <f t="shared" si="19"/>
        <v>319345309.82101703</v>
      </c>
      <c r="AA31" s="19">
        <f t="shared" si="19"/>
        <v>292733200.66926563</v>
      </c>
    </row>
    <row r="33" spans="1:27" x14ac:dyDescent="0.2">
      <c r="A33" s="25" t="s">
        <v>160</v>
      </c>
      <c r="B33" s="25" t="s">
        <v>138</v>
      </c>
      <c r="C33" s="25">
        <v>0</v>
      </c>
      <c r="D33" s="27">
        <f>$C33</f>
        <v>0</v>
      </c>
      <c r="E33" s="27">
        <f t="shared" ref="E33:AA33" si="20">D39</f>
        <v>0</v>
      </c>
      <c r="F33" s="27">
        <f t="shared" si="20"/>
        <v>0</v>
      </c>
      <c r="G33" s="27">
        <f t="shared" si="20"/>
        <v>0</v>
      </c>
      <c r="H33" s="27">
        <f t="shared" si="20"/>
        <v>0</v>
      </c>
      <c r="I33" s="27">
        <f t="shared" si="20"/>
        <v>0</v>
      </c>
      <c r="J33" s="27">
        <f t="shared" si="20"/>
        <v>0</v>
      </c>
      <c r="K33" s="27">
        <f t="shared" si="20"/>
        <v>0</v>
      </c>
      <c r="L33" s="27">
        <f t="shared" si="20"/>
        <v>0</v>
      </c>
      <c r="M33" s="27">
        <f t="shared" si="20"/>
        <v>0</v>
      </c>
      <c r="N33" s="27">
        <f t="shared" si="20"/>
        <v>0</v>
      </c>
      <c r="O33" s="27">
        <f t="shared" si="20"/>
        <v>0</v>
      </c>
      <c r="P33" s="27">
        <f t="shared" si="20"/>
        <v>0</v>
      </c>
      <c r="Q33" s="27">
        <f t="shared" si="20"/>
        <v>0</v>
      </c>
      <c r="R33" s="27">
        <f t="shared" si="20"/>
        <v>0</v>
      </c>
      <c r="S33" s="27">
        <f t="shared" si="20"/>
        <v>0</v>
      </c>
      <c r="T33" s="27">
        <f t="shared" si="20"/>
        <v>0</v>
      </c>
      <c r="U33" s="27">
        <f t="shared" si="20"/>
        <v>0</v>
      </c>
      <c r="V33" s="27">
        <f t="shared" si="20"/>
        <v>0</v>
      </c>
      <c r="W33" s="27">
        <f t="shared" si="20"/>
        <v>0</v>
      </c>
      <c r="X33" s="27">
        <f t="shared" si="20"/>
        <v>0</v>
      </c>
      <c r="Y33" s="27">
        <f t="shared" si="20"/>
        <v>0</v>
      </c>
      <c r="Z33" s="27">
        <f t="shared" si="20"/>
        <v>0</v>
      </c>
      <c r="AA33" s="27">
        <f t="shared" si="20"/>
        <v>0</v>
      </c>
    </row>
    <row r="34" spans="1:27" x14ac:dyDescent="0.2">
      <c r="B34" t="s">
        <v>155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</row>
    <row r="35" spans="1:27" x14ac:dyDescent="0.2">
      <c r="B35" t="s">
        <v>156</v>
      </c>
      <c r="C35" s="18">
        <f>Assumptions!$E$7+'Scenario Toggle'!$E$13+1%</f>
        <v>7.4999999999999997E-2</v>
      </c>
      <c r="D35" s="18">
        <f t="shared" ref="D35:AA35" si="21">$C35</f>
        <v>7.4999999999999997E-2</v>
      </c>
      <c r="E35" s="18">
        <f t="shared" si="21"/>
        <v>7.4999999999999997E-2</v>
      </c>
      <c r="F35" s="18">
        <f t="shared" si="21"/>
        <v>7.4999999999999997E-2</v>
      </c>
      <c r="G35" s="18">
        <f t="shared" si="21"/>
        <v>7.4999999999999997E-2</v>
      </c>
      <c r="H35" s="18">
        <f t="shared" si="21"/>
        <v>7.4999999999999997E-2</v>
      </c>
      <c r="I35" s="18">
        <f t="shared" si="21"/>
        <v>7.4999999999999997E-2</v>
      </c>
      <c r="J35" s="18">
        <f t="shared" si="21"/>
        <v>7.4999999999999997E-2</v>
      </c>
      <c r="K35" s="18">
        <f t="shared" si="21"/>
        <v>7.4999999999999997E-2</v>
      </c>
      <c r="L35" s="18">
        <f t="shared" si="21"/>
        <v>7.4999999999999997E-2</v>
      </c>
      <c r="M35" s="18">
        <f t="shared" si="21"/>
        <v>7.4999999999999997E-2</v>
      </c>
      <c r="N35" s="18">
        <f t="shared" si="21"/>
        <v>7.4999999999999997E-2</v>
      </c>
      <c r="O35" s="18">
        <f t="shared" si="21"/>
        <v>7.4999999999999997E-2</v>
      </c>
      <c r="P35" s="18">
        <f t="shared" si="21"/>
        <v>7.4999999999999997E-2</v>
      </c>
      <c r="Q35" s="18">
        <f t="shared" si="21"/>
        <v>7.4999999999999997E-2</v>
      </c>
      <c r="R35" s="18">
        <f t="shared" si="21"/>
        <v>7.4999999999999997E-2</v>
      </c>
      <c r="S35" s="18">
        <f t="shared" si="21"/>
        <v>7.4999999999999997E-2</v>
      </c>
      <c r="T35" s="18">
        <f t="shared" si="21"/>
        <v>7.4999999999999997E-2</v>
      </c>
      <c r="U35" s="18">
        <f t="shared" si="21"/>
        <v>7.4999999999999997E-2</v>
      </c>
      <c r="V35" s="18">
        <f t="shared" si="21"/>
        <v>7.4999999999999997E-2</v>
      </c>
      <c r="W35" s="18">
        <f t="shared" si="21"/>
        <v>7.4999999999999997E-2</v>
      </c>
      <c r="X35" s="18">
        <f t="shared" si="21"/>
        <v>7.4999999999999997E-2</v>
      </c>
      <c r="Y35" s="18">
        <f t="shared" si="21"/>
        <v>7.4999999999999997E-2</v>
      </c>
      <c r="Z35" s="18">
        <f t="shared" si="21"/>
        <v>7.4999999999999997E-2</v>
      </c>
      <c r="AA35" s="18">
        <f t="shared" si="21"/>
        <v>7.4999999999999997E-2</v>
      </c>
    </row>
    <row r="36" spans="1:27" x14ac:dyDescent="0.2">
      <c r="B36" t="s">
        <v>157</v>
      </c>
      <c r="D36" s="19">
        <f t="shared" ref="D36:AA36" si="22">D33*D35/12</f>
        <v>0</v>
      </c>
      <c r="E36" s="19">
        <f t="shared" si="22"/>
        <v>0</v>
      </c>
      <c r="F36" s="19">
        <f t="shared" si="22"/>
        <v>0</v>
      </c>
      <c r="G36" s="19">
        <f t="shared" si="22"/>
        <v>0</v>
      </c>
      <c r="H36" s="19">
        <f t="shared" si="22"/>
        <v>0</v>
      </c>
      <c r="I36" s="19">
        <f t="shared" si="22"/>
        <v>0</v>
      </c>
      <c r="J36" s="19">
        <f t="shared" si="22"/>
        <v>0</v>
      </c>
      <c r="K36" s="19">
        <f t="shared" si="22"/>
        <v>0</v>
      </c>
      <c r="L36" s="19">
        <f t="shared" si="22"/>
        <v>0</v>
      </c>
      <c r="M36" s="19">
        <f t="shared" si="22"/>
        <v>0</v>
      </c>
      <c r="N36" s="19">
        <f t="shared" si="22"/>
        <v>0</v>
      </c>
      <c r="O36" s="19">
        <f t="shared" si="22"/>
        <v>0</v>
      </c>
      <c r="P36" s="19">
        <f t="shared" si="22"/>
        <v>0</v>
      </c>
      <c r="Q36" s="19">
        <f t="shared" si="22"/>
        <v>0</v>
      </c>
      <c r="R36" s="19">
        <f t="shared" si="22"/>
        <v>0</v>
      </c>
      <c r="S36" s="19">
        <f t="shared" si="22"/>
        <v>0</v>
      </c>
      <c r="T36" s="19">
        <f t="shared" si="22"/>
        <v>0</v>
      </c>
      <c r="U36" s="19">
        <f t="shared" si="22"/>
        <v>0</v>
      </c>
      <c r="V36" s="19">
        <f t="shared" si="22"/>
        <v>0</v>
      </c>
      <c r="W36" s="19">
        <f t="shared" si="22"/>
        <v>0</v>
      </c>
      <c r="X36" s="19">
        <f t="shared" si="22"/>
        <v>0</v>
      </c>
      <c r="Y36" s="19">
        <f t="shared" si="22"/>
        <v>0</v>
      </c>
      <c r="Z36" s="19">
        <f t="shared" si="22"/>
        <v>0</v>
      </c>
      <c r="AA36" s="19">
        <f t="shared" si="22"/>
        <v>0</v>
      </c>
    </row>
    <row r="37" spans="1:27" x14ac:dyDescent="0.2">
      <c r="B37" t="s">
        <v>158</v>
      </c>
      <c r="D37" s="19">
        <f t="shared" ref="D37:AA37" si="23">D36</f>
        <v>0</v>
      </c>
      <c r="E37" s="19">
        <f t="shared" si="23"/>
        <v>0</v>
      </c>
      <c r="F37" s="19">
        <f t="shared" si="23"/>
        <v>0</v>
      </c>
      <c r="G37" s="19">
        <f t="shared" si="23"/>
        <v>0</v>
      </c>
      <c r="H37" s="19">
        <f t="shared" si="23"/>
        <v>0</v>
      </c>
      <c r="I37" s="19">
        <f t="shared" si="23"/>
        <v>0</v>
      </c>
      <c r="J37" s="19">
        <f t="shared" si="23"/>
        <v>0</v>
      </c>
      <c r="K37" s="19">
        <f t="shared" si="23"/>
        <v>0</v>
      </c>
      <c r="L37" s="19">
        <f t="shared" si="23"/>
        <v>0</v>
      </c>
      <c r="M37" s="19">
        <f t="shared" si="23"/>
        <v>0</v>
      </c>
      <c r="N37" s="19">
        <f t="shared" si="23"/>
        <v>0</v>
      </c>
      <c r="O37" s="19">
        <f t="shared" si="23"/>
        <v>0</v>
      </c>
      <c r="P37" s="19">
        <f t="shared" si="23"/>
        <v>0</v>
      </c>
      <c r="Q37" s="19">
        <f t="shared" si="23"/>
        <v>0</v>
      </c>
      <c r="R37" s="19">
        <f t="shared" si="23"/>
        <v>0</v>
      </c>
      <c r="S37" s="19">
        <f t="shared" si="23"/>
        <v>0</v>
      </c>
      <c r="T37" s="19">
        <f t="shared" si="23"/>
        <v>0</v>
      </c>
      <c r="U37" s="19">
        <f t="shared" si="23"/>
        <v>0</v>
      </c>
      <c r="V37" s="19">
        <f t="shared" si="23"/>
        <v>0</v>
      </c>
      <c r="W37" s="19">
        <f t="shared" si="23"/>
        <v>0</v>
      </c>
      <c r="X37" s="19">
        <f t="shared" si="23"/>
        <v>0</v>
      </c>
      <c r="Y37" s="19">
        <f t="shared" si="23"/>
        <v>0</v>
      </c>
      <c r="Z37" s="19">
        <f t="shared" si="23"/>
        <v>0</v>
      </c>
      <c r="AA37" s="19">
        <f t="shared" si="23"/>
        <v>0</v>
      </c>
    </row>
    <row r="38" spans="1:27" x14ac:dyDescent="0.2">
      <c r="B38" t="s">
        <v>159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</row>
    <row r="39" spans="1:27" x14ac:dyDescent="0.2">
      <c r="B39" t="s">
        <v>141</v>
      </c>
      <c r="D39" s="19">
        <f t="shared" ref="D39:AA39" si="24">MAX(0,D33+D34+D36-D37-D38)</f>
        <v>0</v>
      </c>
      <c r="E39" s="19">
        <f t="shared" si="24"/>
        <v>0</v>
      </c>
      <c r="F39" s="19">
        <f t="shared" si="24"/>
        <v>0</v>
      </c>
      <c r="G39" s="19">
        <f t="shared" si="24"/>
        <v>0</v>
      </c>
      <c r="H39" s="19">
        <f t="shared" si="24"/>
        <v>0</v>
      </c>
      <c r="I39" s="19">
        <f t="shared" si="24"/>
        <v>0</v>
      </c>
      <c r="J39" s="19">
        <f t="shared" si="24"/>
        <v>0</v>
      </c>
      <c r="K39" s="19">
        <f t="shared" si="24"/>
        <v>0</v>
      </c>
      <c r="L39" s="19">
        <f t="shared" si="24"/>
        <v>0</v>
      </c>
      <c r="M39" s="19">
        <f t="shared" si="24"/>
        <v>0</v>
      </c>
      <c r="N39" s="19">
        <f t="shared" si="24"/>
        <v>0</v>
      </c>
      <c r="O39" s="19">
        <f t="shared" si="24"/>
        <v>0</v>
      </c>
      <c r="P39" s="19">
        <f t="shared" si="24"/>
        <v>0</v>
      </c>
      <c r="Q39" s="19">
        <f t="shared" si="24"/>
        <v>0</v>
      </c>
      <c r="R39" s="19">
        <f t="shared" si="24"/>
        <v>0</v>
      </c>
      <c r="S39" s="19">
        <f t="shared" si="24"/>
        <v>0</v>
      </c>
      <c r="T39" s="19">
        <f t="shared" si="24"/>
        <v>0</v>
      </c>
      <c r="U39" s="19">
        <f t="shared" si="24"/>
        <v>0</v>
      </c>
      <c r="V39" s="19">
        <f t="shared" si="24"/>
        <v>0</v>
      </c>
      <c r="W39" s="19">
        <f t="shared" si="24"/>
        <v>0</v>
      </c>
      <c r="X39" s="19">
        <f t="shared" si="24"/>
        <v>0</v>
      </c>
      <c r="Y39" s="19">
        <f t="shared" si="24"/>
        <v>0</v>
      </c>
      <c r="Z39" s="19">
        <f t="shared" si="24"/>
        <v>0</v>
      </c>
      <c r="AA39" s="19">
        <f t="shared" si="24"/>
        <v>0</v>
      </c>
    </row>
  </sheetData>
  <mergeCells count="1">
    <mergeCell ref="A1:A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AB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5" width="13" customWidth="1"/>
  </cols>
  <sheetData>
    <row r="1" spans="1:28" ht="18" x14ac:dyDescent="0.2">
      <c r="A1" s="5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3" spans="1:28" x14ac:dyDescent="0.2">
      <c r="B3" s="37">
        <v>46113</v>
      </c>
      <c r="C3" s="37">
        <v>46143</v>
      </c>
      <c r="D3" s="37">
        <v>46174</v>
      </c>
      <c r="E3" s="37">
        <v>46204</v>
      </c>
      <c r="F3" s="37">
        <v>46235</v>
      </c>
      <c r="G3" s="37">
        <v>46266</v>
      </c>
      <c r="H3" s="37">
        <v>46296</v>
      </c>
      <c r="I3" s="37">
        <v>46327</v>
      </c>
      <c r="J3" s="37">
        <v>46357</v>
      </c>
      <c r="K3" s="37">
        <v>46388</v>
      </c>
      <c r="L3" s="37">
        <v>46419</v>
      </c>
      <c r="M3" s="37">
        <v>46447</v>
      </c>
      <c r="N3" s="37">
        <v>46478</v>
      </c>
      <c r="O3" s="37">
        <v>46508</v>
      </c>
      <c r="P3" s="37">
        <v>46539</v>
      </c>
      <c r="Q3" s="37">
        <v>46569</v>
      </c>
      <c r="R3" s="37">
        <v>46600</v>
      </c>
      <c r="S3" s="37">
        <v>46631</v>
      </c>
      <c r="T3" s="37">
        <v>46661</v>
      </c>
      <c r="U3" s="37">
        <v>46692</v>
      </c>
      <c r="V3" s="37">
        <v>46722</v>
      </c>
      <c r="W3" s="37">
        <v>46753</v>
      </c>
      <c r="X3" s="37">
        <v>46784</v>
      </c>
      <c r="Y3" s="37">
        <v>46813</v>
      </c>
    </row>
    <row r="5" spans="1:28" x14ac:dyDescent="0.2">
      <c r="A5" t="s">
        <v>162</v>
      </c>
      <c r="B5" s="23">
        <v>25000000</v>
      </c>
      <c r="C5" s="23">
        <v>0</v>
      </c>
      <c r="D5" s="23">
        <v>0</v>
      </c>
      <c r="E5" s="23">
        <v>0</v>
      </c>
      <c r="F5" s="23">
        <v>0</v>
      </c>
      <c r="G5" s="23">
        <v>25000000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25000000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</row>
    <row r="6" spans="1:28" x14ac:dyDescent="0.2">
      <c r="A6" t="s">
        <v>163</v>
      </c>
      <c r="B6" s="23">
        <v>6000000</v>
      </c>
      <c r="C6" s="23">
        <v>6000000</v>
      </c>
      <c r="D6" s="23">
        <v>6000000</v>
      </c>
      <c r="E6" s="23">
        <v>6000000</v>
      </c>
      <c r="F6" s="23">
        <v>6000000</v>
      </c>
      <c r="G6" s="23">
        <v>6000000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</row>
    <row r="7" spans="1:28" x14ac:dyDescent="0.2">
      <c r="A7" t="s">
        <v>164</v>
      </c>
      <c r="B7" s="23">
        <v>0</v>
      </c>
      <c r="C7" s="23">
        <v>0</v>
      </c>
      <c r="D7" s="23">
        <v>0</v>
      </c>
      <c r="E7" s="23">
        <v>0</v>
      </c>
      <c r="F7" s="23">
        <v>8000000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</row>
    <row r="8" spans="1:28" x14ac:dyDescent="0.2">
      <c r="A8" t="s">
        <v>165</v>
      </c>
      <c r="B8" s="23">
        <v>1500000</v>
      </c>
      <c r="C8" s="23">
        <v>1500000</v>
      </c>
      <c r="D8" s="23">
        <v>1500000</v>
      </c>
      <c r="E8" s="23">
        <v>1500000</v>
      </c>
      <c r="F8" s="23">
        <v>1500000</v>
      </c>
      <c r="G8" s="23">
        <v>1500000</v>
      </c>
      <c r="H8" s="23">
        <v>1500000</v>
      </c>
      <c r="I8" s="23">
        <v>1500000</v>
      </c>
      <c r="J8" s="23">
        <v>1500000</v>
      </c>
      <c r="K8" s="23">
        <v>1500000</v>
      </c>
      <c r="L8" s="23">
        <v>1500000</v>
      </c>
      <c r="M8" s="23">
        <v>1500000</v>
      </c>
      <c r="N8" s="23">
        <v>1500000</v>
      </c>
      <c r="O8" s="23">
        <v>1500000</v>
      </c>
      <c r="P8" s="23">
        <v>1500000</v>
      </c>
      <c r="Q8" s="23">
        <v>1500000</v>
      </c>
      <c r="R8" s="23">
        <v>1500000</v>
      </c>
      <c r="S8" s="23">
        <v>1500000</v>
      </c>
      <c r="T8" s="23">
        <v>1500000</v>
      </c>
      <c r="U8" s="23">
        <v>1500000</v>
      </c>
      <c r="V8" s="23">
        <v>1500000</v>
      </c>
      <c r="W8" s="23">
        <v>1500000</v>
      </c>
      <c r="X8" s="23">
        <v>1500000</v>
      </c>
      <c r="Y8" s="23">
        <v>1500000</v>
      </c>
    </row>
    <row r="9" spans="1:28" x14ac:dyDescent="0.2">
      <c r="A9" s="25" t="s">
        <v>166</v>
      </c>
      <c r="B9" s="27">
        <f t="shared" ref="B9:Y9" si="0">SUM(B5:B8)</f>
        <v>32500000</v>
      </c>
      <c r="C9" s="27">
        <f t="shared" si="0"/>
        <v>7500000</v>
      </c>
      <c r="D9" s="27">
        <f t="shared" si="0"/>
        <v>7500000</v>
      </c>
      <c r="E9" s="27">
        <f t="shared" si="0"/>
        <v>7500000</v>
      </c>
      <c r="F9" s="27">
        <f t="shared" si="0"/>
        <v>15500000</v>
      </c>
      <c r="G9" s="27">
        <f t="shared" si="0"/>
        <v>32500000</v>
      </c>
      <c r="H9" s="27">
        <f t="shared" si="0"/>
        <v>1500000</v>
      </c>
      <c r="I9" s="27">
        <f t="shared" si="0"/>
        <v>1500000</v>
      </c>
      <c r="J9" s="27">
        <f t="shared" si="0"/>
        <v>1500000</v>
      </c>
      <c r="K9" s="27">
        <f t="shared" si="0"/>
        <v>1500000</v>
      </c>
      <c r="L9" s="27">
        <f t="shared" si="0"/>
        <v>1500000</v>
      </c>
      <c r="M9" s="27">
        <f t="shared" si="0"/>
        <v>1500000</v>
      </c>
      <c r="N9" s="27">
        <f t="shared" si="0"/>
        <v>26500000</v>
      </c>
      <c r="O9" s="27">
        <f t="shared" si="0"/>
        <v>1500000</v>
      </c>
      <c r="P9" s="27">
        <f t="shared" si="0"/>
        <v>1500000</v>
      </c>
      <c r="Q9" s="27">
        <f t="shared" si="0"/>
        <v>1500000</v>
      </c>
      <c r="R9" s="27">
        <f t="shared" si="0"/>
        <v>1500000</v>
      </c>
      <c r="S9" s="27">
        <f t="shared" si="0"/>
        <v>1500000</v>
      </c>
      <c r="T9" s="27">
        <f t="shared" si="0"/>
        <v>1500000</v>
      </c>
      <c r="U9" s="27">
        <f t="shared" si="0"/>
        <v>1500000</v>
      </c>
      <c r="V9" s="27">
        <f t="shared" si="0"/>
        <v>1500000</v>
      </c>
      <c r="W9" s="27">
        <f t="shared" si="0"/>
        <v>1500000</v>
      </c>
      <c r="X9" s="27">
        <f t="shared" si="0"/>
        <v>1500000</v>
      </c>
      <c r="Y9" s="27">
        <f t="shared" si="0"/>
        <v>1500000</v>
      </c>
    </row>
  </sheetData>
  <mergeCells count="1">
    <mergeCell ref="A1:AB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9BD5"/>
  </sheetPr>
  <dimension ref="A1:AC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customHeight="1" x14ac:dyDescent="0.2"/>
  <cols>
    <col min="1" max="1" width="36" customWidth="1"/>
    <col min="2" max="25" width="14" customWidth="1"/>
  </cols>
  <sheetData>
    <row r="1" spans="1:29" ht="18" x14ac:dyDescent="0.2">
      <c r="A1" s="5" t="s">
        <v>167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3" spans="1:29" x14ac:dyDescent="0.2">
      <c r="B3" s="37">
        <v>46113</v>
      </c>
      <c r="C3" s="37">
        <v>46143</v>
      </c>
      <c r="D3" s="37">
        <v>46174</v>
      </c>
      <c r="E3" s="37">
        <v>46204</v>
      </c>
      <c r="F3" s="37">
        <v>46235</v>
      </c>
      <c r="G3" s="37">
        <v>46266</v>
      </c>
      <c r="H3" s="37">
        <v>46296</v>
      </c>
      <c r="I3" s="37">
        <v>46327</v>
      </c>
      <c r="J3" s="37">
        <v>46357</v>
      </c>
      <c r="K3" s="37">
        <v>46388</v>
      </c>
      <c r="L3" s="37">
        <v>46419</v>
      </c>
      <c r="M3" s="37">
        <v>46447</v>
      </c>
      <c r="N3" s="37">
        <v>46478</v>
      </c>
      <c r="O3" s="37">
        <v>46508</v>
      </c>
      <c r="P3" s="37">
        <v>46539</v>
      </c>
      <c r="Q3" s="37">
        <v>46569</v>
      </c>
      <c r="R3" s="37">
        <v>46600</v>
      </c>
      <c r="S3" s="37">
        <v>46631</v>
      </c>
      <c r="T3" s="37">
        <v>46661</v>
      </c>
      <c r="U3" s="37">
        <v>46692</v>
      </c>
      <c r="V3" s="37">
        <v>46722</v>
      </c>
      <c r="W3" s="37">
        <v>46753</v>
      </c>
      <c r="X3" s="37">
        <v>46784</v>
      </c>
      <c r="Y3" s="37">
        <v>46813</v>
      </c>
    </row>
    <row r="5" spans="1:29" x14ac:dyDescent="0.2">
      <c r="A5" t="s">
        <v>168</v>
      </c>
      <c r="B5" s="19">
        <v>150000000</v>
      </c>
      <c r="C5" s="19">
        <f t="shared" ref="C5:Y5" si="0">B27</f>
        <v>106166666.63666666</v>
      </c>
      <c r="D5" s="19">
        <f t="shared" si="0"/>
        <v>75000000</v>
      </c>
      <c r="E5" s="19">
        <f t="shared" si="0"/>
        <v>75000000</v>
      </c>
      <c r="F5" s="19">
        <f t="shared" si="0"/>
        <v>75000000</v>
      </c>
      <c r="G5" s="19">
        <f t="shared" si="0"/>
        <v>75000000</v>
      </c>
      <c r="H5" s="19">
        <f t="shared" si="0"/>
        <v>75000000</v>
      </c>
      <c r="I5" s="19">
        <f t="shared" si="0"/>
        <v>75000000</v>
      </c>
      <c r="J5" s="19">
        <f t="shared" si="0"/>
        <v>75000000</v>
      </c>
      <c r="K5" s="19">
        <f t="shared" si="0"/>
        <v>75000000</v>
      </c>
      <c r="L5" s="19">
        <f t="shared" si="0"/>
        <v>75000000</v>
      </c>
      <c r="M5" s="19">
        <f t="shared" si="0"/>
        <v>75000000</v>
      </c>
      <c r="N5" s="19">
        <f t="shared" si="0"/>
        <v>75000000</v>
      </c>
      <c r="O5" s="19">
        <f t="shared" si="0"/>
        <v>75000000</v>
      </c>
      <c r="P5" s="19">
        <f t="shared" si="0"/>
        <v>75000000</v>
      </c>
      <c r="Q5" s="19">
        <f t="shared" si="0"/>
        <v>75000000</v>
      </c>
      <c r="R5" s="19">
        <f t="shared" si="0"/>
        <v>75000000</v>
      </c>
      <c r="S5" s="19">
        <f t="shared" si="0"/>
        <v>75000000</v>
      </c>
      <c r="T5" s="19">
        <f t="shared" si="0"/>
        <v>75000000</v>
      </c>
      <c r="U5" s="19">
        <f t="shared" si="0"/>
        <v>75000000</v>
      </c>
      <c r="V5" s="19">
        <f t="shared" si="0"/>
        <v>75000000</v>
      </c>
      <c r="W5" s="19">
        <f t="shared" si="0"/>
        <v>75000000</v>
      </c>
      <c r="X5" s="19">
        <f t="shared" si="0"/>
        <v>75000000</v>
      </c>
      <c r="Y5" s="19">
        <f t="shared" si="0"/>
        <v>75000000</v>
      </c>
    </row>
    <row r="6" spans="1:29" x14ac:dyDescent="0.2">
      <c r="A6" s="39" t="s">
        <v>169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spans="1:29" x14ac:dyDescent="0.2">
      <c r="A7" t="s">
        <v>170</v>
      </c>
      <c r="B7" s="19" t="str">
        <f>Collections!B29</f>
        <v>Handover 20%</v>
      </c>
      <c r="C7" s="19">
        <f>Collections!C29</f>
        <v>0</v>
      </c>
      <c r="D7" s="19">
        <f>Collections!D29</f>
        <v>0</v>
      </c>
      <c r="E7" s="19">
        <f>Collections!E29</f>
        <v>0</v>
      </c>
      <c r="F7" s="19">
        <f>Collections!F29</f>
        <v>0</v>
      </c>
      <c r="G7" s="19">
        <f>Collections!G29</f>
        <v>0</v>
      </c>
      <c r="H7" s="19">
        <f>Collections!H29</f>
        <v>0</v>
      </c>
      <c r="I7" s="19">
        <f>Collections!I29</f>
        <v>0</v>
      </c>
      <c r="J7" s="19">
        <f>Collections!J29</f>
        <v>0</v>
      </c>
      <c r="K7" s="19">
        <f>Collections!K29</f>
        <v>0</v>
      </c>
      <c r="L7" s="19">
        <f>Collections!L29</f>
        <v>0</v>
      </c>
      <c r="M7" s="19">
        <f>Collections!M29</f>
        <v>0</v>
      </c>
      <c r="N7" s="19">
        <f>Collections!N29</f>
        <v>0</v>
      </c>
      <c r="O7" s="19">
        <f>Collections!O29</f>
        <v>0</v>
      </c>
      <c r="P7" s="19">
        <f>Collections!P29</f>
        <v>0</v>
      </c>
      <c r="Q7" s="19">
        <f>Collections!Q29</f>
        <v>0</v>
      </c>
      <c r="R7" s="19">
        <f>Collections!R29</f>
        <v>0</v>
      </c>
      <c r="S7" s="19">
        <f>Collections!S29</f>
        <v>0</v>
      </c>
      <c r="T7" s="19">
        <f>Collections!T29</f>
        <v>0</v>
      </c>
      <c r="U7" s="19">
        <f>Collections!U29</f>
        <v>0</v>
      </c>
      <c r="V7" s="19">
        <f>Collections!V29</f>
        <v>0</v>
      </c>
      <c r="W7" s="19">
        <f>Collections!W29</f>
        <v>0</v>
      </c>
      <c r="X7" s="19">
        <f>Collections!X29</f>
        <v>0</v>
      </c>
      <c r="Y7" s="19">
        <f>Collections!Y29</f>
        <v>295100255.4217996</v>
      </c>
    </row>
    <row r="8" spans="1:29" x14ac:dyDescent="0.2">
      <c r="A8" t="s">
        <v>171</v>
      </c>
      <c r="B8" s="19">
        <f>22000000*(1+Assumptions!$E$11/12)^(COLUMN()-2)*'Scenario Toggle'!$E$14</f>
        <v>22000000</v>
      </c>
      <c r="C8" s="19">
        <f>22000000*(1+Assumptions!$E$11/12)^(COLUMN()-2)*'Scenario Toggle'!$E$14</f>
        <v>22000000</v>
      </c>
      <c r="D8" s="19">
        <f>22000000*(1+Assumptions!$E$11/12)^(COLUMN()-2)*'Scenario Toggle'!$E$14</f>
        <v>22000000</v>
      </c>
      <c r="E8" s="19">
        <f>22000000*(1+Assumptions!$E$11/12)^(COLUMN()-2)*'Scenario Toggle'!$E$14</f>
        <v>22000000</v>
      </c>
      <c r="F8" s="19">
        <f>22000000*(1+Assumptions!$E$11/12)^(COLUMN()-2)*'Scenario Toggle'!$E$14</f>
        <v>22000000</v>
      </c>
      <c r="G8" s="19">
        <f>22000000*(1+Assumptions!$E$11/12)^(COLUMN()-2)*'Scenario Toggle'!$E$14</f>
        <v>22000000</v>
      </c>
      <c r="H8" s="19">
        <f>22000000*(1+Assumptions!$E$11/12)^(COLUMN()-2)*'Scenario Toggle'!$E$14</f>
        <v>22000000</v>
      </c>
      <c r="I8" s="19">
        <f>22000000*(1+Assumptions!$E$11/12)^(COLUMN()-2)*'Scenario Toggle'!$E$14</f>
        <v>22000000</v>
      </c>
      <c r="J8" s="19">
        <f>22000000*(1+Assumptions!$E$11/12)^(COLUMN()-2)*'Scenario Toggle'!$E$14</f>
        <v>22000000</v>
      </c>
      <c r="K8" s="19">
        <f>22000000*(1+Assumptions!$E$11/12)^(COLUMN()-2)*'Scenario Toggle'!$E$14</f>
        <v>22000000</v>
      </c>
      <c r="L8" s="19">
        <f>22000000*(1+Assumptions!$E$11/12)^(COLUMN()-2)*'Scenario Toggle'!$E$14</f>
        <v>22000000</v>
      </c>
      <c r="M8" s="19">
        <f>22000000*(1+Assumptions!$E$11/12)^(COLUMN()-2)*'Scenario Toggle'!$E$14</f>
        <v>22000000</v>
      </c>
      <c r="N8" s="19">
        <f>22000000*(1+Assumptions!$E$11/12)^(COLUMN()-2)*'Scenario Toggle'!$E$14</f>
        <v>22000000</v>
      </c>
      <c r="O8" s="19">
        <f>22000000*(1+Assumptions!$E$11/12)^(COLUMN()-2)*'Scenario Toggle'!$E$14</f>
        <v>22000000</v>
      </c>
      <c r="P8" s="19">
        <f>22000000*(1+Assumptions!$E$11/12)^(COLUMN()-2)*'Scenario Toggle'!$E$14</f>
        <v>22000000</v>
      </c>
      <c r="Q8" s="19">
        <f>22000000*(1+Assumptions!$E$11/12)^(COLUMN()-2)*'Scenario Toggle'!$E$14</f>
        <v>22000000</v>
      </c>
      <c r="R8" s="19">
        <f>22000000*(1+Assumptions!$E$11/12)^(COLUMN()-2)*'Scenario Toggle'!$E$14</f>
        <v>22000000</v>
      </c>
      <c r="S8" s="19">
        <f>22000000*(1+Assumptions!$E$11/12)^(COLUMN()-2)*'Scenario Toggle'!$E$14</f>
        <v>22000000</v>
      </c>
      <c r="T8" s="19">
        <f>22000000*(1+Assumptions!$E$11/12)^(COLUMN()-2)*'Scenario Toggle'!$E$14</f>
        <v>22000000</v>
      </c>
      <c r="U8" s="19">
        <f>22000000*(1+Assumptions!$E$11/12)^(COLUMN()-2)*'Scenario Toggle'!$E$14</f>
        <v>22000000</v>
      </c>
      <c r="V8" s="19">
        <f>22000000*(1+Assumptions!$E$11/12)^(COLUMN()-2)*'Scenario Toggle'!$E$14</f>
        <v>22000000</v>
      </c>
      <c r="W8" s="19">
        <f>22000000*(1+Assumptions!$E$11/12)^(COLUMN()-2)*'Scenario Toggle'!$E$14</f>
        <v>22000000</v>
      </c>
      <c r="X8" s="19">
        <f>22000000*(1+Assumptions!$E$11/12)^(COLUMN()-2)*'Scenario Toggle'!$E$14</f>
        <v>22000000</v>
      </c>
      <c r="Y8" s="19">
        <f>22000000*(1+Assumptions!$E$11/12)^(COLUMN()-2)*'Scenario Toggle'!$E$14</f>
        <v>22000000</v>
      </c>
    </row>
    <row r="9" spans="1:29" x14ac:dyDescent="0.2">
      <c r="A9" t="s">
        <v>172</v>
      </c>
      <c r="B9" s="19">
        <f>15000000*(1+Assumptions!$E$12/12)^(COLUMN()-2)*'Scenario Toggle'!$E$14</f>
        <v>15000000</v>
      </c>
      <c r="C9" s="19">
        <f>15000000*(1+Assumptions!$E$12/12)^(COLUMN()-2)*'Scenario Toggle'!$E$14</f>
        <v>15000000</v>
      </c>
      <c r="D9" s="19">
        <f>15000000*(1+Assumptions!$E$12/12)^(COLUMN()-2)*'Scenario Toggle'!$E$14</f>
        <v>15000000</v>
      </c>
      <c r="E9" s="19">
        <f>15000000*(1+Assumptions!$E$12/12)^(COLUMN()-2)*'Scenario Toggle'!$E$14</f>
        <v>15000000</v>
      </c>
      <c r="F9" s="19">
        <f>15000000*(1+Assumptions!$E$12/12)^(COLUMN()-2)*'Scenario Toggle'!$E$14</f>
        <v>15000000</v>
      </c>
      <c r="G9" s="19">
        <f>15000000*(1+Assumptions!$E$12/12)^(COLUMN()-2)*'Scenario Toggle'!$E$14</f>
        <v>15000000</v>
      </c>
      <c r="H9" s="19">
        <f>15000000*(1+Assumptions!$E$12/12)^(COLUMN()-2)*'Scenario Toggle'!$E$14</f>
        <v>15000000</v>
      </c>
      <c r="I9" s="19">
        <f>15000000*(1+Assumptions!$E$12/12)^(COLUMN()-2)*'Scenario Toggle'!$E$14</f>
        <v>15000000</v>
      </c>
      <c r="J9" s="19">
        <f>15000000*(1+Assumptions!$E$12/12)^(COLUMN()-2)*'Scenario Toggle'!$E$14</f>
        <v>15000000</v>
      </c>
      <c r="K9" s="19">
        <f>15000000*(1+Assumptions!$E$12/12)^(COLUMN()-2)*'Scenario Toggle'!$E$14</f>
        <v>15000000</v>
      </c>
      <c r="L9" s="19">
        <f>15000000*(1+Assumptions!$E$12/12)^(COLUMN()-2)*'Scenario Toggle'!$E$14</f>
        <v>15000000</v>
      </c>
      <c r="M9" s="19">
        <f>15000000*(1+Assumptions!$E$12/12)^(COLUMN()-2)*'Scenario Toggle'!$E$14</f>
        <v>15000000</v>
      </c>
      <c r="N9" s="19">
        <f>15000000*(1+Assumptions!$E$12/12)^(COLUMN()-2)*'Scenario Toggle'!$E$14</f>
        <v>15000000</v>
      </c>
      <c r="O9" s="19">
        <f>15000000*(1+Assumptions!$E$12/12)^(COLUMN()-2)*'Scenario Toggle'!$E$14</f>
        <v>15000000</v>
      </c>
      <c r="P9" s="19">
        <f>15000000*(1+Assumptions!$E$12/12)^(COLUMN()-2)*'Scenario Toggle'!$E$14</f>
        <v>15000000</v>
      </c>
      <c r="Q9" s="19">
        <f>15000000*(1+Assumptions!$E$12/12)^(COLUMN()-2)*'Scenario Toggle'!$E$14</f>
        <v>15000000</v>
      </c>
      <c r="R9" s="19">
        <f>15000000*(1+Assumptions!$E$12/12)^(COLUMN()-2)*'Scenario Toggle'!$E$14</f>
        <v>15000000</v>
      </c>
      <c r="S9" s="19">
        <f>15000000*(1+Assumptions!$E$12/12)^(COLUMN()-2)*'Scenario Toggle'!$E$14</f>
        <v>15000000</v>
      </c>
      <c r="T9" s="19">
        <f>15000000*(1+Assumptions!$E$12/12)^(COLUMN()-2)*'Scenario Toggle'!$E$14</f>
        <v>15000000</v>
      </c>
      <c r="U9" s="19">
        <f>15000000*(1+Assumptions!$E$12/12)^(COLUMN()-2)*'Scenario Toggle'!$E$14</f>
        <v>15000000</v>
      </c>
      <c r="V9" s="19">
        <f>15000000*(1+Assumptions!$E$12/12)^(COLUMN()-2)*'Scenario Toggle'!$E$14</f>
        <v>15000000</v>
      </c>
      <c r="W9" s="19">
        <f>15000000*(1+Assumptions!$E$12/12)^(COLUMN()-2)*'Scenario Toggle'!$E$14</f>
        <v>15000000</v>
      </c>
      <c r="X9" s="19">
        <f>15000000*(1+Assumptions!$E$12/12)^(COLUMN()-2)*'Scenario Toggle'!$E$14</f>
        <v>15000000</v>
      </c>
      <c r="Y9" s="19">
        <f>15000000*(1+Assumptions!$E$12/12)^(COLUMN()-2)*'Scenario Toggle'!$E$14</f>
        <v>15000000</v>
      </c>
    </row>
    <row r="10" spans="1:29" x14ac:dyDescent="0.2">
      <c r="A10" t="s">
        <v>173</v>
      </c>
      <c r="B10" s="19">
        <f t="shared" ref="B10:Y10" si="1">6000000</f>
        <v>6000000</v>
      </c>
      <c r="C10" s="19">
        <f t="shared" si="1"/>
        <v>6000000</v>
      </c>
      <c r="D10" s="19">
        <f t="shared" si="1"/>
        <v>6000000</v>
      </c>
      <c r="E10" s="19">
        <f t="shared" si="1"/>
        <v>6000000</v>
      </c>
      <c r="F10" s="19">
        <f t="shared" si="1"/>
        <v>6000000</v>
      </c>
      <c r="G10" s="19">
        <f t="shared" si="1"/>
        <v>6000000</v>
      </c>
      <c r="H10" s="19">
        <f t="shared" si="1"/>
        <v>6000000</v>
      </c>
      <c r="I10" s="19">
        <f t="shared" si="1"/>
        <v>6000000</v>
      </c>
      <c r="J10" s="19">
        <f t="shared" si="1"/>
        <v>6000000</v>
      </c>
      <c r="K10" s="19">
        <f t="shared" si="1"/>
        <v>6000000</v>
      </c>
      <c r="L10" s="19">
        <f t="shared" si="1"/>
        <v>6000000</v>
      </c>
      <c r="M10" s="19">
        <f t="shared" si="1"/>
        <v>6000000</v>
      </c>
      <c r="N10" s="19">
        <f t="shared" si="1"/>
        <v>6000000</v>
      </c>
      <c r="O10" s="19">
        <f t="shared" si="1"/>
        <v>6000000</v>
      </c>
      <c r="P10" s="19">
        <f t="shared" si="1"/>
        <v>6000000</v>
      </c>
      <c r="Q10" s="19">
        <f t="shared" si="1"/>
        <v>6000000</v>
      </c>
      <c r="R10" s="19">
        <f t="shared" si="1"/>
        <v>6000000</v>
      </c>
      <c r="S10" s="19">
        <f t="shared" si="1"/>
        <v>6000000</v>
      </c>
      <c r="T10" s="19">
        <f t="shared" si="1"/>
        <v>6000000</v>
      </c>
      <c r="U10" s="19">
        <f t="shared" si="1"/>
        <v>6000000</v>
      </c>
      <c r="V10" s="19">
        <f t="shared" si="1"/>
        <v>6000000</v>
      </c>
      <c r="W10" s="19">
        <f t="shared" si="1"/>
        <v>6000000</v>
      </c>
      <c r="X10" s="19">
        <f t="shared" si="1"/>
        <v>6000000</v>
      </c>
      <c r="Y10" s="19">
        <f t="shared" si="1"/>
        <v>6000000</v>
      </c>
    </row>
    <row r="11" spans="1:29" x14ac:dyDescent="0.2">
      <c r="A11" s="25" t="s">
        <v>174</v>
      </c>
      <c r="B11" s="27">
        <f t="shared" ref="B11:Y11" si="2">SUM(B7:B10)</f>
        <v>43000000</v>
      </c>
      <c r="C11" s="27">
        <f t="shared" si="2"/>
        <v>43000000</v>
      </c>
      <c r="D11" s="27">
        <f t="shared" si="2"/>
        <v>43000000</v>
      </c>
      <c r="E11" s="27">
        <f t="shared" si="2"/>
        <v>43000000</v>
      </c>
      <c r="F11" s="27">
        <f t="shared" si="2"/>
        <v>43000000</v>
      </c>
      <c r="G11" s="27">
        <f t="shared" si="2"/>
        <v>43000000</v>
      </c>
      <c r="H11" s="27">
        <f t="shared" si="2"/>
        <v>43000000</v>
      </c>
      <c r="I11" s="27">
        <f t="shared" si="2"/>
        <v>43000000</v>
      </c>
      <c r="J11" s="27">
        <f t="shared" si="2"/>
        <v>43000000</v>
      </c>
      <c r="K11" s="27">
        <f t="shared" si="2"/>
        <v>43000000</v>
      </c>
      <c r="L11" s="27">
        <f t="shared" si="2"/>
        <v>43000000</v>
      </c>
      <c r="M11" s="27">
        <f t="shared" si="2"/>
        <v>43000000</v>
      </c>
      <c r="N11" s="27">
        <f t="shared" si="2"/>
        <v>43000000</v>
      </c>
      <c r="O11" s="27">
        <f t="shared" si="2"/>
        <v>43000000</v>
      </c>
      <c r="P11" s="27">
        <f t="shared" si="2"/>
        <v>43000000</v>
      </c>
      <c r="Q11" s="27">
        <f t="shared" si="2"/>
        <v>43000000</v>
      </c>
      <c r="R11" s="27">
        <f t="shared" si="2"/>
        <v>43000000</v>
      </c>
      <c r="S11" s="27">
        <f t="shared" si="2"/>
        <v>43000000</v>
      </c>
      <c r="T11" s="27">
        <f t="shared" si="2"/>
        <v>43000000</v>
      </c>
      <c r="U11" s="27">
        <f t="shared" si="2"/>
        <v>43000000</v>
      </c>
      <c r="V11" s="27">
        <f t="shared" si="2"/>
        <v>43000000</v>
      </c>
      <c r="W11" s="27">
        <f t="shared" si="2"/>
        <v>43000000</v>
      </c>
      <c r="X11" s="27">
        <f t="shared" si="2"/>
        <v>43000000</v>
      </c>
      <c r="Y11" s="27">
        <f t="shared" si="2"/>
        <v>338100255.4217996</v>
      </c>
    </row>
    <row r="12" spans="1:29" x14ac:dyDescent="0.2">
      <c r="A12" s="39" t="s">
        <v>175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spans="1:29" x14ac:dyDescent="0.2">
      <c r="A13" t="s">
        <v>176</v>
      </c>
      <c r="B13" s="19">
        <f>'Construction Costs'!D29</f>
        <v>50000000</v>
      </c>
      <c r="C13" s="19">
        <f>'Construction Costs'!E29</f>
        <v>82625000</v>
      </c>
      <c r="D13" s="19">
        <f>'Construction Costs'!F29</f>
        <v>123307752.97619048</v>
      </c>
      <c r="E13" s="19">
        <f>'Construction Costs'!G29</f>
        <v>175996974.73958331</v>
      </c>
      <c r="F13" s="19">
        <f>'Construction Costs'!H29</f>
        <v>176436967.17643228</v>
      </c>
      <c r="G13" s="19">
        <f>'Construction Costs'!I29</f>
        <v>176878059.59437332</v>
      </c>
      <c r="H13" s="19">
        <f>'Construction Costs'!J29</f>
        <v>177320254.74335927</v>
      </c>
      <c r="I13" s="19">
        <f>'Construction Costs'!K29</f>
        <v>177763555.38021764</v>
      </c>
      <c r="J13" s="19">
        <f>'Construction Costs'!L29</f>
        <v>178207964.26866817</v>
      </c>
      <c r="K13" s="19">
        <f>'Construction Costs'!M29</f>
        <v>178653484.17933986</v>
      </c>
      <c r="L13" s="19">
        <f>'Construction Costs'!N29</f>
        <v>179100117.88978821</v>
      </c>
      <c r="M13" s="19">
        <f>'Construction Costs'!O29</f>
        <v>179547868.18451265</v>
      </c>
      <c r="N13" s="19">
        <f>'Construction Costs'!P29</f>
        <v>179996737.85497391</v>
      </c>
      <c r="O13" s="19">
        <f>'Construction Costs'!Q29</f>
        <v>180446729.69961137</v>
      </c>
      <c r="P13" s="19">
        <f>'Construction Costs'!R29</f>
        <v>180897846.52386037</v>
      </c>
      <c r="Q13" s="19">
        <f>'Construction Costs'!S29</f>
        <v>181350091.14017004</v>
      </c>
      <c r="R13" s="19">
        <f>'Construction Costs'!T29</f>
        <v>181803466.36802042</v>
      </c>
      <c r="S13" s="19">
        <f>'Construction Costs'!U29</f>
        <v>182257975.03394046</v>
      </c>
      <c r="T13" s="19">
        <f>'Construction Costs'!V29</f>
        <v>130415163.95289934</v>
      </c>
      <c r="U13" s="19">
        <f>'Construction Costs'!W29</f>
        <v>130741201.86278158</v>
      </c>
      <c r="V13" s="19">
        <f>'Construction Costs'!X29</f>
        <v>131068054.86743852</v>
      </c>
      <c r="W13" s="19">
        <f>'Construction Costs'!Y29</f>
        <v>97231546.147962123</v>
      </c>
      <c r="X13" s="19">
        <f>'Construction Costs'!Z29</f>
        <v>97474625.013332039</v>
      </c>
      <c r="Y13" s="19">
        <f>'Construction Costs'!AA29</f>
        <v>55063145.409977287</v>
      </c>
    </row>
    <row r="14" spans="1:29" x14ac:dyDescent="0.2">
      <c r="A14" t="s">
        <v>177</v>
      </c>
      <c r="B14" s="19" t="str">
        <f>Collections!B30</f>
        <v>Total Customer Collections</v>
      </c>
      <c r="C14" s="19">
        <f>Collections!C30</f>
        <v>0</v>
      </c>
      <c r="D14" s="19">
        <f>Collections!D30</f>
        <v>0</v>
      </c>
      <c r="E14" s="19">
        <f>Collections!E30</f>
        <v>13912080</v>
      </c>
      <c r="F14" s="19">
        <f>Collections!F30</f>
        <v>13967728.320000002</v>
      </c>
      <c r="G14" s="19">
        <f>Collections!G30</f>
        <v>14023599.233280001</v>
      </c>
      <c r="H14" s="19">
        <f>Collections!H30</f>
        <v>14079693.630213121</v>
      </c>
      <c r="I14" s="19">
        <f>Collections!I30</f>
        <v>14136012.404733974</v>
      </c>
      <c r="J14" s="19">
        <f>Collections!J30</f>
        <v>14192556.45435291</v>
      </c>
      <c r="K14" s="19">
        <f>Collections!K30</f>
        <v>28161406.68017032</v>
      </c>
      <c r="L14" s="19">
        <f>Collections!L30</f>
        <v>28274052.306891002</v>
      </c>
      <c r="M14" s="19">
        <f>Collections!M30</f>
        <v>28387148.516118571</v>
      </c>
      <c r="N14" s="19">
        <f>Collections!N30</f>
        <v>28500697.110183045</v>
      </c>
      <c r="O14" s="19">
        <f>Collections!O30</f>
        <v>28614699.898623776</v>
      </c>
      <c r="P14" s="19">
        <f>Collections!P30</f>
        <v>28729158.698218271</v>
      </c>
      <c r="Q14" s="19">
        <f>Collections!Q30</f>
        <v>42756155.333011143</v>
      </c>
      <c r="R14" s="19">
        <f>Collections!R30</f>
        <v>42927179.954343192</v>
      </c>
      <c r="S14" s="19">
        <f>Collections!S30</f>
        <v>43098888.67416057</v>
      </c>
      <c r="T14" s="19">
        <f>Collections!T30</f>
        <v>43271284.228857212</v>
      </c>
      <c r="U14" s="19">
        <f>Collections!U30</f>
        <v>43444369.365772635</v>
      </c>
      <c r="V14" s="19">
        <f>Collections!V30</f>
        <v>43618146.843235731</v>
      </c>
      <c r="W14" s="19">
        <f>Collections!W30</f>
        <v>57704699.430608675</v>
      </c>
      <c r="X14" s="19">
        <f>Collections!X30</f>
        <v>57935518.228331111</v>
      </c>
      <c r="Y14" s="19">
        <f>Collections!Y30</f>
        <v>344226492.74679369</v>
      </c>
    </row>
    <row r="15" spans="1:29" x14ac:dyDescent="0.2">
      <c r="A15" t="s">
        <v>178</v>
      </c>
      <c r="B15" s="19">
        <f>'Corporate Opex'!B9</f>
        <v>0.03</v>
      </c>
      <c r="C15" s="19">
        <f>'Corporate Opex'!C9</f>
        <v>0.03</v>
      </c>
      <c r="D15" s="19">
        <f>'Corporate Opex'!D9</f>
        <v>0.03</v>
      </c>
      <c r="E15" s="19">
        <f>'Corporate Opex'!E9</f>
        <v>0.03</v>
      </c>
      <c r="F15" s="19">
        <f>'Corporate Opex'!F9</f>
        <v>0.03</v>
      </c>
      <c r="G15" s="19">
        <f>'Corporate Opex'!G9</f>
        <v>0.03</v>
      </c>
      <c r="H15" s="19">
        <f>'Corporate Opex'!H9</f>
        <v>0.03</v>
      </c>
      <c r="I15" s="19">
        <f>'Corporate Opex'!I9</f>
        <v>0.03</v>
      </c>
      <c r="J15" s="19">
        <f>'Corporate Opex'!J9</f>
        <v>0.03</v>
      </c>
      <c r="K15" s="19">
        <f>'Corporate Opex'!K9</f>
        <v>0.03</v>
      </c>
      <c r="L15" s="19">
        <f>'Corporate Opex'!L9</f>
        <v>0.03</v>
      </c>
      <c r="M15" s="19">
        <f>'Corporate Opex'!M9</f>
        <v>0.03</v>
      </c>
      <c r="N15" s="19">
        <f>'Corporate Opex'!N9</f>
        <v>0.03</v>
      </c>
      <c r="O15" s="19">
        <f>'Corporate Opex'!O9</f>
        <v>0.03</v>
      </c>
      <c r="P15" s="19">
        <f>'Corporate Opex'!P9</f>
        <v>0.03</v>
      </c>
      <c r="Q15" s="19">
        <f>'Corporate Opex'!Q9</f>
        <v>0.03</v>
      </c>
      <c r="R15" s="19">
        <f>'Corporate Opex'!R9</f>
        <v>0.03</v>
      </c>
      <c r="S15" s="19">
        <f>'Corporate Opex'!S9</f>
        <v>0.03</v>
      </c>
      <c r="T15" s="19">
        <f>'Corporate Opex'!T9</f>
        <v>0.03</v>
      </c>
      <c r="U15" s="19">
        <f>'Corporate Opex'!U9</f>
        <v>0.03</v>
      </c>
      <c r="V15" s="19">
        <f>'Corporate Opex'!V9</f>
        <v>0.03</v>
      </c>
      <c r="W15" s="19">
        <f>'Corporate Opex'!W9</f>
        <v>0.03</v>
      </c>
      <c r="X15" s="19">
        <f>'Corporate Opex'!X9</f>
        <v>0.03</v>
      </c>
      <c r="Y15" s="19">
        <f>'Corporate Opex'!Y9</f>
        <v>0.03</v>
      </c>
    </row>
    <row r="16" spans="1:29" x14ac:dyDescent="0.2">
      <c r="A16" s="25" t="s">
        <v>179</v>
      </c>
      <c r="B16" s="27">
        <f t="shared" ref="B16:Y16" si="3">B11-SUM(B13:B15)</f>
        <v>-7000000.0300000012</v>
      </c>
      <c r="C16" s="27">
        <f t="shared" si="3"/>
        <v>-39625000.030000001</v>
      </c>
      <c r="D16" s="27">
        <f t="shared" si="3"/>
        <v>-80307753.006190479</v>
      </c>
      <c r="E16" s="27">
        <f t="shared" si="3"/>
        <v>-146909054.76958331</v>
      </c>
      <c r="F16" s="27">
        <f t="shared" si="3"/>
        <v>-147404695.52643228</v>
      </c>
      <c r="G16" s="27">
        <f t="shared" si="3"/>
        <v>-147901658.85765332</v>
      </c>
      <c r="H16" s="27">
        <f t="shared" si="3"/>
        <v>-148399948.40357238</v>
      </c>
      <c r="I16" s="27">
        <f t="shared" si="3"/>
        <v>-148899567.81495163</v>
      </c>
      <c r="J16" s="27">
        <f t="shared" si="3"/>
        <v>-149400520.75302109</v>
      </c>
      <c r="K16" s="27">
        <f t="shared" si="3"/>
        <v>-163814890.88951018</v>
      </c>
      <c r="L16" s="27">
        <f t="shared" si="3"/>
        <v>-164374170.22667921</v>
      </c>
      <c r="M16" s="27">
        <f t="shared" si="3"/>
        <v>-164935016.7306312</v>
      </c>
      <c r="N16" s="27">
        <f t="shared" si="3"/>
        <v>-165497434.99515697</v>
      </c>
      <c r="O16" s="27">
        <f t="shared" si="3"/>
        <v>-166061429.62823513</v>
      </c>
      <c r="P16" s="27">
        <f t="shared" si="3"/>
        <v>-166627005.25207862</v>
      </c>
      <c r="Q16" s="27">
        <f t="shared" si="3"/>
        <v>-181106246.50318119</v>
      </c>
      <c r="R16" s="27">
        <f t="shared" si="3"/>
        <v>-181730646.35236362</v>
      </c>
      <c r="S16" s="27">
        <f t="shared" si="3"/>
        <v>-182356863.73810104</v>
      </c>
      <c r="T16" s="27">
        <f t="shared" si="3"/>
        <v>-130686448.21175656</v>
      </c>
      <c r="U16" s="27">
        <f t="shared" si="3"/>
        <v>-131185571.25855422</v>
      </c>
      <c r="V16" s="27">
        <f t="shared" si="3"/>
        <v>-131686201.74067426</v>
      </c>
      <c r="W16" s="27">
        <f t="shared" si="3"/>
        <v>-111936245.60857078</v>
      </c>
      <c r="X16" s="27">
        <f t="shared" si="3"/>
        <v>-112410143.27166316</v>
      </c>
      <c r="Y16" s="27">
        <f t="shared" si="3"/>
        <v>-61189382.764971316</v>
      </c>
    </row>
    <row r="17" spans="1:25" x14ac:dyDescent="0.2">
      <c r="A17" s="39" t="s">
        <v>180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spans="1:25" x14ac:dyDescent="0.2">
      <c r="A18" t="s">
        <v>181</v>
      </c>
      <c r="B18" s="19">
        <f>CapEx!B9</f>
        <v>32500000</v>
      </c>
      <c r="C18" s="19">
        <f>CapEx!C9</f>
        <v>7500000</v>
      </c>
      <c r="D18" s="19">
        <f>CapEx!D9</f>
        <v>7500000</v>
      </c>
      <c r="E18" s="19">
        <f>CapEx!E9</f>
        <v>7500000</v>
      </c>
      <c r="F18" s="19">
        <f>CapEx!F9</f>
        <v>15500000</v>
      </c>
      <c r="G18" s="19">
        <f>CapEx!G9</f>
        <v>32500000</v>
      </c>
      <c r="H18" s="19">
        <f>CapEx!H9</f>
        <v>1500000</v>
      </c>
      <c r="I18" s="19">
        <f>CapEx!I9</f>
        <v>1500000</v>
      </c>
      <c r="J18" s="19">
        <f>CapEx!J9</f>
        <v>1500000</v>
      </c>
      <c r="K18" s="19">
        <f>CapEx!K9</f>
        <v>1500000</v>
      </c>
      <c r="L18" s="19">
        <f>CapEx!L9</f>
        <v>1500000</v>
      </c>
      <c r="M18" s="19">
        <f>CapEx!M9</f>
        <v>1500000</v>
      </c>
      <c r="N18" s="19">
        <f>CapEx!N9</f>
        <v>26500000</v>
      </c>
      <c r="O18" s="19">
        <f>CapEx!O9</f>
        <v>1500000</v>
      </c>
      <c r="P18" s="19">
        <f>CapEx!P9</f>
        <v>1500000</v>
      </c>
      <c r="Q18" s="19">
        <f>CapEx!Q9</f>
        <v>1500000</v>
      </c>
      <c r="R18" s="19">
        <f>CapEx!R9</f>
        <v>1500000</v>
      </c>
      <c r="S18" s="19">
        <f>CapEx!S9</f>
        <v>1500000</v>
      </c>
      <c r="T18" s="19">
        <f>CapEx!T9</f>
        <v>1500000</v>
      </c>
      <c r="U18" s="19">
        <f>CapEx!U9</f>
        <v>1500000</v>
      </c>
      <c r="V18" s="19">
        <f>CapEx!V9</f>
        <v>1500000</v>
      </c>
      <c r="W18" s="19">
        <f>CapEx!W9</f>
        <v>1500000</v>
      </c>
      <c r="X18" s="19">
        <f>CapEx!X9</f>
        <v>1500000</v>
      </c>
      <c r="Y18" s="19">
        <f>CapEx!Y9</f>
        <v>1500000</v>
      </c>
    </row>
    <row r="19" spans="1:25" x14ac:dyDescent="0.2">
      <c r="A19" s="25" t="s">
        <v>182</v>
      </c>
      <c r="B19" s="27">
        <f t="shared" ref="B19:Y19" si="4">-B18</f>
        <v>-32500000</v>
      </c>
      <c r="C19" s="27">
        <f t="shared" si="4"/>
        <v>-7500000</v>
      </c>
      <c r="D19" s="27">
        <f t="shared" si="4"/>
        <v>-7500000</v>
      </c>
      <c r="E19" s="27">
        <f t="shared" si="4"/>
        <v>-7500000</v>
      </c>
      <c r="F19" s="27">
        <f t="shared" si="4"/>
        <v>-15500000</v>
      </c>
      <c r="G19" s="27">
        <f t="shared" si="4"/>
        <v>-32500000</v>
      </c>
      <c r="H19" s="27">
        <f t="shared" si="4"/>
        <v>-1500000</v>
      </c>
      <c r="I19" s="27">
        <f t="shared" si="4"/>
        <v>-1500000</v>
      </c>
      <c r="J19" s="27">
        <f t="shared" si="4"/>
        <v>-1500000</v>
      </c>
      <c r="K19" s="27">
        <f t="shared" si="4"/>
        <v>-1500000</v>
      </c>
      <c r="L19" s="27">
        <f t="shared" si="4"/>
        <v>-1500000</v>
      </c>
      <c r="M19" s="27">
        <f t="shared" si="4"/>
        <v>-1500000</v>
      </c>
      <c r="N19" s="27">
        <f t="shared" si="4"/>
        <v>-26500000</v>
      </c>
      <c r="O19" s="27">
        <f t="shared" si="4"/>
        <v>-1500000</v>
      </c>
      <c r="P19" s="27">
        <f t="shared" si="4"/>
        <v>-1500000</v>
      </c>
      <c r="Q19" s="27">
        <f t="shared" si="4"/>
        <v>-1500000</v>
      </c>
      <c r="R19" s="27">
        <f t="shared" si="4"/>
        <v>-1500000</v>
      </c>
      <c r="S19" s="27">
        <f t="shared" si="4"/>
        <v>-1500000</v>
      </c>
      <c r="T19" s="27">
        <f t="shared" si="4"/>
        <v>-1500000</v>
      </c>
      <c r="U19" s="27">
        <f t="shared" si="4"/>
        <v>-1500000</v>
      </c>
      <c r="V19" s="27">
        <f t="shared" si="4"/>
        <v>-1500000</v>
      </c>
      <c r="W19" s="27">
        <f t="shared" si="4"/>
        <v>-1500000</v>
      </c>
      <c r="X19" s="27">
        <f t="shared" si="4"/>
        <v>-1500000</v>
      </c>
      <c r="Y19" s="27">
        <f t="shared" si="4"/>
        <v>-1500000</v>
      </c>
    </row>
    <row r="20" spans="1:25" x14ac:dyDescent="0.2">
      <c r="A20" s="39" t="s">
        <v>183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spans="1:25" x14ac:dyDescent="0.2">
      <c r="A21" t="s">
        <v>184</v>
      </c>
      <c r="B21" s="19">
        <f>'Debt Model'!D5+'Debt Model'!D12+'Debt Model'!D19+'Debt Model'!D26</f>
        <v>0</v>
      </c>
      <c r="C21" s="19">
        <f>'Debt Model'!E5+'Debt Model'!E12+'Debt Model'!E19+'Debt Model'!E26</f>
        <v>0</v>
      </c>
      <c r="D21" s="19">
        <f>'Debt Model'!F5+'Debt Model'!F12+'Debt Model'!F19+'Debt Model'!F26</f>
        <v>0</v>
      </c>
      <c r="E21" s="19">
        <f>'Debt Model'!G5+'Debt Model'!G12+'Debt Model'!G19+'Debt Model'!G26</f>
        <v>0</v>
      </c>
      <c r="F21" s="19">
        <f>'Debt Model'!H5+'Debt Model'!H12+'Debt Model'!H19+'Debt Model'!H26</f>
        <v>0</v>
      </c>
      <c r="G21" s="19">
        <f>'Debt Model'!I5+'Debt Model'!I12+'Debt Model'!I19+'Debt Model'!I26</f>
        <v>0</v>
      </c>
      <c r="H21" s="19">
        <f>'Debt Model'!J5+'Debt Model'!J12+'Debt Model'!J19+'Debt Model'!J26</f>
        <v>27514887.030223347</v>
      </c>
      <c r="I21" s="19">
        <f>'Debt Model'!K5+'Debt Model'!K12+'Debt Model'!K19+'Debt Model'!K26</f>
        <v>15639412.939208552</v>
      </c>
      <c r="J21" s="19">
        <f>'Debt Model'!L5+'Debt Model'!L12+'Debt Model'!L19+'Debt Model'!L26</f>
        <v>15640493.572538327</v>
      </c>
      <c r="K21" s="19">
        <f>'Debt Model'!M5+'Debt Model'!M12+'Debt Model'!M19+'Debt Model'!M26</f>
        <v>17702710.615010444</v>
      </c>
      <c r="L21" s="19">
        <f>'Debt Model'!N5+'Debt Model'!N12+'Debt Model'!N19+'Debt Model'!N26</f>
        <v>25106221.04098396</v>
      </c>
      <c r="M21" s="19">
        <f>'Debt Model'!O5+'Debt Model'!O12+'Debt Model'!O19+'Debt Model'!O26</f>
        <v>25064749.891280219</v>
      </c>
      <c r="N21" s="19">
        <f>'Debt Model'!P5+'Debt Model'!P12+'Debt Model'!P19+'Debt Model'!P26</f>
        <v>25022758.116892986</v>
      </c>
      <c r="O21" s="19">
        <f>'Debt Model'!Q5+'Debt Model'!Q12+'Debt Model'!Q19+'Debt Model'!Q26</f>
        <v>12459370.748473331</v>
      </c>
      <c r="P21" s="19">
        <f>'Debt Model'!R5+'Debt Model'!R12+'Debt Model'!R19+'Debt Model'!R26</f>
        <v>3072850.5828283131</v>
      </c>
      <c r="Q21" s="19">
        <f>'Debt Model'!S5+'Debt Model'!S12+'Debt Model'!S19+'Debt Model'!S26</f>
        <v>3022581.0163469985</v>
      </c>
      <c r="R21" s="19">
        <f>'Debt Model'!T5+'Debt Model'!T12+'Debt Model'!T19+'Debt Model'!T26</f>
        <v>2971953.9691777527</v>
      </c>
      <c r="S21" s="19">
        <f>'Debt Model'!U5+'Debt Model'!U12+'Debt Model'!U19+'Debt Model'!U26</f>
        <v>2920967.6203917339</v>
      </c>
      <c r="T21" s="19">
        <f>'Debt Model'!V5+'Debt Model'!V12+'Debt Model'!V19+'Debt Model'!V26</f>
        <v>2869620.1407989338</v>
      </c>
      <c r="U21" s="19">
        <f>'Debt Model'!W5+'Debt Model'!W12+'Debt Model'!W19+'Debt Model'!W26</f>
        <v>0</v>
      </c>
      <c r="V21" s="19">
        <f>'Debt Model'!X5+'Debt Model'!X12+'Debt Model'!X19+'Debt Model'!X26</f>
        <v>0</v>
      </c>
      <c r="W21" s="19">
        <f>'Debt Model'!Y5+'Debt Model'!Y12+'Debt Model'!Y19+'Debt Model'!Y26</f>
        <v>0</v>
      </c>
      <c r="X21" s="19">
        <f>'Debt Model'!Z5+'Debt Model'!Z12+'Debt Model'!Z19+'Debt Model'!Z26</f>
        <v>0</v>
      </c>
      <c r="Y21" s="19">
        <f>'Debt Model'!AA5+'Debt Model'!AA12+'Debt Model'!AA19+'Debt Model'!AA26</f>
        <v>0</v>
      </c>
    </row>
    <row r="22" spans="1:25" x14ac:dyDescent="0.2">
      <c r="A22" t="s">
        <v>185</v>
      </c>
      <c r="B22" s="19">
        <f>'Debt Model'!D8+'Debt Model'!D15+'Debt Model'!D22+'Debt Model'!D29+'Debt Model'!D37</f>
        <v>4333333.333333333</v>
      </c>
      <c r="C22" s="19">
        <f>'Debt Model'!E8+'Debt Model'!E15+'Debt Model'!E22+'Debt Model'!E29+'Debt Model'!E37</f>
        <v>4333333.333333333</v>
      </c>
      <c r="D22" s="19">
        <f>'Debt Model'!F8+'Debt Model'!F15+'Debt Model'!F22+'Debt Model'!F29+'Debt Model'!F37</f>
        <v>4333333.333333333</v>
      </c>
      <c r="E22" s="19">
        <f>'Debt Model'!G8+'Debt Model'!G15+'Debt Model'!G22+'Debt Model'!G29+'Debt Model'!G37</f>
        <v>4333333.333333333</v>
      </c>
      <c r="F22" s="19">
        <f>'Debt Model'!H8+'Debt Model'!H15+'Debt Model'!H22+'Debt Model'!H29+'Debt Model'!H37</f>
        <v>4333333.333333333</v>
      </c>
      <c r="G22" s="19">
        <f>'Debt Model'!I8+'Debt Model'!I15+'Debt Model'!I22+'Debt Model'!I29+'Debt Model'!I37</f>
        <v>4333333.333333333</v>
      </c>
      <c r="H22" s="19">
        <f>'Debt Model'!J8+'Debt Model'!J15+'Debt Model'!J22+'Debt Model'!J29+'Debt Model'!J37</f>
        <v>4333333.333333333</v>
      </c>
      <c r="I22" s="19">
        <f>'Debt Model'!K8+'Debt Model'!K15+'Debt Model'!K22+'Debt Model'!K29+'Debt Model'!K37</f>
        <v>4482372.3047470432</v>
      </c>
      <c r="J22" s="19">
        <f>'Debt Model'!L8+'Debt Model'!L15+'Debt Model'!L22+'Debt Model'!L29+'Debt Model'!L37</f>
        <v>4567085.791501089</v>
      </c>
      <c r="K22" s="19">
        <f>'Debt Model'!M8+'Debt Model'!M15+'Debt Model'!M22+'Debt Model'!M29+'Debt Model'!M37</f>
        <v>4651805.1316856714</v>
      </c>
      <c r="L22" s="19">
        <f>'Debt Model'!N8+'Debt Model'!N15+'Debt Model'!N22+'Debt Model'!N29+'Debt Model'!N37</f>
        <v>4747694.814183645</v>
      </c>
      <c r="M22" s="19">
        <f>'Debt Model'!O8+'Debt Model'!O15+'Debt Model'!O22+'Debt Model'!O29+'Debt Model'!O37</f>
        <v>4883686.844822308</v>
      </c>
      <c r="N22" s="19">
        <f>'Debt Model'!P8+'Debt Model'!P15+'Debt Model'!P22+'Debt Model'!P29+'Debt Model'!P37</f>
        <v>5019454.2400667425</v>
      </c>
      <c r="O22" s="19">
        <f>'Debt Model'!Q8+'Debt Model'!Q15+'Debt Model'!Q22+'Debt Model'!Q29+'Debt Model'!Q37</f>
        <v>5154994.1798665794</v>
      </c>
      <c r="P22" s="19">
        <f>'Debt Model'!R8+'Debt Model'!R15+'Debt Model'!R22+'Debt Model'!R29+'Debt Model'!R37</f>
        <v>5222482.4380874764</v>
      </c>
      <c r="Q22" s="19">
        <f>'Debt Model'!S8+'Debt Model'!S15+'Debt Model'!S22+'Debt Model'!S29+'Debt Model'!S37</f>
        <v>5239127.0454111304</v>
      </c>
      <c r="R22" s="19">
        <f>'Debt Model'!T8+'Debt Model'!T15+'Debt Model'!T22+'Debt Model'!T29+'Debt Model'!T37</f>
        <v>5255499.3592496766</v>
      </c>
      <c r="S22" s="19">
        <f>'Debt Model'!U8+'Debt Model'!U15+'Debt Model'!U22+'Debt Model'!U29+'Debt Model'!U37</f>
        <v>5271597.4432493895</v>
      </c>
      <c r="T22" s="19">
        <f>'Debt Model'!V8+'Debt Model'!V15+'Debt Model'!V22+'Debt Model'!V29+'Debt Model'!V37</f>
        <v>5287419.3511931784</v>
      </c>
      <c r="U22" s="19">
        <f>'Debt Model'!W8+'Debt Model'!W15+'Debt Model'!W22+'Debt Model'!W29+'Debt Model'!W37</f>
        <v>5203657.5714002838</v>
      </c>
      <c r="V22" s="19">
        <f>'Debt Model'!X8+'Debt Model'!X15+'Debt Model'!X22+'Debt Model'!X29+'Debt Model'!X37</f>
        <v>5112627.4788076915</v>
      </c>
      <c r="W22" s="19">
        <f>'Debt Model'!Y8+'Debt Model'!Y15+'Debt Model'!Y22+'Debt Model'!Y29+'Debt Model'!Y37</f>
        <v>5029183.2272644807</v>
      </c>
      <c r="X22" s="19">
        <f>'Debt Model'!Z8+'Debt Model'!Z15+'Debt Model'!Z22+'Debt Model'!Z29+'Debt Model'!Z37</f>
        <v>4889498.2189054275</v>
      </c>
      <c r="Y22" s="19">
        <f>'Debt Model'!AA8+'Debt Model'!AA15+'Debt Model'!AA22+'Debt Model'!AA29+'Debt Model'!AA37</f>
        <v>4761453.6279096287</v>
      </c>
    </row>
    <row r="23" spans="1:25" x14ac:dyDescent="0.2">
      <c r="A23" t="s">
        <v>186</v>
      </c>
      <c r="B23" s="19">
        <f>'Debt Model'!D9+'Debt Model'!D16+'Debt Model'!D23+'Debt Model'!D30+'Debt Model'!D38</f>
        <v>0</v>
      </c>
      <c r="C23" s="19">
        <f>'Debt Model'!E9+'Debt Model'!E16+'Debt Model'!E23+'Debt Model'!E30+'Debt Model'!E38</f>
        <v>0</v>
      </c>
      <c r="D23" s="19">
        <f>'Debt Model'!F9+'Debt Model'!F16+'Debt Model'!F23+'Debt Model'!F30+'Debt Model'!F38</f>
        <v>0</v>
      </c>
      <c r="E23" s="19">
        <f>'Debt Model'!G9+'Debt Model'!G16+'Debt Model'!G23+'Debt Model'!G30+'Debt Model'!G38</f>
        <v>0</v>
      </c>
      <c r="F23" s="19">
        <f>'Debt Model'!H9+'Debt Model'!H16+'Debt Model'!H23+'Debt Model'!H30+'Debt Model'!H38</f>
        <v>0</v>
      </c>
      <c r="G23" s="19">
        <f>'Debt Model'!I9+'Debt Model'!I16+'Debt Model'!I23+'Debt Model'!I30+'Debt Model'!I38</f>
        <v>0</v>
      </c>
      <c r="H23" s="19">
        <f>'Debt Model'!J9+'Debt Model'!J16+'Debt Model'!J23+'Debt Model'!J30+'Debt Model'!J38</f>
        <v>0</v>
      </c>
      <c r="I23" s="19">
        <f>'Debt Model'!K9+'Debt Model'!K16+'Debt Model'!K23+'Debt Model'!K30+'Debt Model'!K38</f>
        <v>0</v>
      </c>
      <c r="J23" s="19">
        <f>'Debt Model'!L9+'Debt Model'!L16+'Debt Model'!L23+'Debt Model'!L30+'Debt Model'!L38</f>
        <v>0</v>
      </c>
      <c r="K23" s="19">
        <f>'Debt Model'!M9+'Debt Model'!M16+'Debt Model'!M23+'Debt Model'!M30+'Debt Model'!M38</f>
        <v>0</v>
      </c>
      <c r="L23" s="19">
        <f>'Debt Model'!N9+'Debt Model'!N16+'Debt Model'!N23+'Debt Model'!N30+'Debt Model'!N38</f>
        <v>0</v>
      </c>
      <c r="M23" s="19">
        <f>'Debt Model'!O9+'Debt Model'!O16+'Debt Model'!O23+'Debt Model'!O30+'Debt Model'!O38</f>
        <v>0</v>
      </c>
      <c r="N23" s="19">
        <f>'Debt Model'!P9+'Debt Model'!P16+'Debt Model'!P23+'Debt Model'!P30+'Debt Model'!P38</f>
        <v>0</v>
      </c>
      <c r="O23" s="19">
        <f>'Debt Model'!Q9+'Debt Model'!Q16+'Debt Model'!Q23+'Debt Model'!Q30+'Debt Model'!Q38</f>
        <v>0</v>
      </c>
      <c r="P23" s="19">
        <f>'Debt Model'!R9+'Debt Model'!R16+'Debt Model'!R23+'Debt Model'!R30+'Debt Model'!R38</f>
        <v>0</v>
      </c>
      <c r="Q23" s="19">
        <f>'Debt Model'!S9+'Debt Model'!S16+'Debt Model'!S23+'Debt Model'!S30+'Debt Model'!S38</f>
        <v>0</v>
      </c>
      <c r="R23" s="19">
        <f>'Debt Model'!T9+'Debt Model'!T16+'Debt Model'!T23+'Debt Model'!T30+'Debt Model'!T38</f>
        <v>0</v>
      </c>
      <c r="S23" s="19">
        <f>'Debt Model'!U9+'Debt Model'!U16+'Debt Model'!U23+'Debt Model'!U30+'Debt Model'!U38</f>
        <v>0</v>
      </c>
      <c r="T23" s="19">
        <f>'Debt Model'!V9+'Debt Model'!V16+'Debt Model'!V23+'Debt Model'!V30+'Debt Model'!V38</f>
        <v>18333333.333333332</v>
      </c>
      <c r="U23" s="19">
        <f>'Debt Model'!W9+'Debt Model'!W16+'Debt Model'!W23+'Debt Model'!W30+'Debt Model'!W38</f>
        <v>16805555.555555556</v>
      </c>
      <c r="V23" s="19">
        <f>'Debt Model'!X9+'Debt Model'!X16+'Debt Model'!X23+'Debt Model'!X30+'Debt Model'!X38</f>
        <v>15405092.592592591</v>
      </c>
      <c r="W23" s="19">
        <f>'Debt Model'!Y9+'Debt Model'!Y16+'Debt Model'!Y23+'Debt Model'!Y30+'Debt Model'!Y38</f>
        <v>25788001.543209873</v>
      </c>
      <c r="X23" s="19">
        <f>'Debt Model'!Z9+'Debt Model'!Z16+'Debt Model'!Z23+'Debt Model'!Z30+'Debt Model'!Z38</f>
        <v>23639001.414609052</v>
      </c>
      <c r="Y23" s="19">
        <f>'Debt Model'!AA9+'Debt Model'!AA16+'Debt Model'!AA23+'Debt Model'!AA30+'Debt Model'!AA38</f>
        <v>48281193.781809717</v>
      </c>
    </row>
    <row r="24" spans="1:25" x14ac:dyDescent="0.2">
      <c r="A24" t="s">
        <v>187</v>
      </c>
      <c r="B24" s="19">
        <f>MAX(0,Assumptions!$E$9-(B5+B16+B19+B21-B22-B23))</f>
        <v>0</v>
      </c>
      <c r="C24" s="19">
        <f>MAX(0,Assumptions!$E$9-(C5+C16+C19+C21-C22-C23))</f>
        <v>20291666.726666681</v>
      </c>
      <c r="D24" s="19">
        <f>MAX(0,Assumptions!$E$9-(D5+D16+D19+D21-D22-D23))</f>
        <v>92141086.339523807</v>
      </c>
      <c r="E24" s="19">
        <f>MAX(0,Assumptions!$E$9-(E5+E16+E19+E21-E22-E23))</f>
        <v>158742388.10291666</v>
      </c>
      <c r="F24" s="19">
        <f>MAX(0,Assumptions!$E$9-(F5+F16+F19+F21-F22-F23))</f>
        <v>167238028.85976559</v>
      </c>
      <c r="G24" s="19">
        <f>MAX(0,Assumptions!$E$9-(G5+G16+G19+G21-G22-G23))</f>
        <v>184734992.19098663</v>
      </c>
      <c r="H24" s="19">
        <f>MAX(0,Assumptions!$E$9-(H5+H16+H19+H21-H22-H23))</f>
        <v>126718394.70668237</v>
      </c>
      <c r="I24" s="19">
        <f>MAX(0,Assumptions!$E$9-(I5+I16+I19+I21-I22-I23))</f>
        <v>139242527.18049014</v>
      </c>
      <c r="J24" s="19">
        <f>MAX(0,Assumptions!$E$9-(J5+J16+J19+J21-J22-J23))</f>
        <v>139827112.97198385</v>
      </c>
      <c r="K24" s="19">
        <f>MAX(0,Assumptions!$E$9-(K5+K16+K19+K21-K22-K23))</f>
        <v>152263985.40618542</v>
      </c>
      <c r="L24" s="19">
        <f>MAX(0,Assumptions!$E$9-(L5+L16+L19+L21-L22-L23))</f>
        <v>145515643.99987888</v>
      </c>
      <c r="M24" s="19">
        <f>MAX(0,Assumptions!$E$9-(M5+M16+M19+M21-M22-M23))</f>
        <v>146253953.68417329</v>
      </c>
      <c r="N24" s="19">
        <f>MAX(0,Assumptions!$E$9-(N5+N16+N19+N21-N22-N23))</f>
        <v>171994131.11833072</v>
      </c>
      <c r="O24" s="19">
        <f>MAX(0,Assumptions!$E$9-(O5+O16+O19+O21-O22-O23))</f>
        <v>160257053.05962837</v>
      </c>
      <c r="P24" s="19">
        <f>MAX(0,Assumptions!$E$9-(P5+P16+P19+P21-P22-P23))</f>
        <v>170276637.10733777</v>
      </c>
      <c r="Q24" s="19">
        <f>MAX(0,Assumptions!$E$9-(Q5+Q16+Q19+Q21-Q22-Q23))</f>
        <v>184822792.53224534</v>
      </c>
      <c r="R24" s="19">
        <f>MAX(0,Assumptions!$E$9-(R5+R16+R19+R21-R22-R23))</f>
        <v>185514191.74243554</v>
      </c>
      <c r="S24" s="19">
        <f>MAX(0,Assumptions!$E$9-(S5+S16+S19+S21-S22-S23))</f>
        <v>186207493.56095868</v>
      </c>
      <c r="T24" s="19">
        <f>MAX(0,Assumptions!$E$9-(T5+T16+T19+T21-T22-T23))</f>
        <v>152937580.75548413</v>
      </c>
      <c r="U24" s="19">
        <f>MAX(0,Assumptions!$E$9-(U5+U16+U19+U21-U22-U23))</f>
        <v>154694784.38551006</v>
      </c>
      <c r="V24" s="19">
        <f>MAX(0,Assumptions!$E$9-(V5+V16+V19+V21-V22-V23))</f>
        <v>153703921.81207454</v>
      </c>
      <c r="W24" s="19">
        <f>MAX(0,Assumptions!$E$9-(W5+W16+W19+W21-W22-W23))</f>
        <v>144253430.37904513</v>
      </c>
      <c r="X24" s="19">
        <f>MAX(0,Assumptions!$E$9-(X5+X16+X19+X21-X22-X23))</f>
        <v>142438642.90517765</v>
      </c>
      <c r="Y24" s="19">
        <f>MAX(0,Assumptions!$E$9-(Y5+Y16+Y19+Y21-Y22-Y23))</f>
        <v>115732030.17469066</v>
      </c>
    </row>
    <row r="25" spans="1:25" x14ac:dyDescent="0.2">
      <c r="A25" s="25" t="s">
        <v>188</v>
      </c>
      <c r="B25" s="27">
        <f t="shared" ref="B25:Y25" si="5">B21-B22-B23+B24</f>
        <v>-4333333.333333333</v>
      </c>
      <c r="C25" s="27">
        <f t="shared" si="5"/>
        <v>15958333.393333349</v>
      </c>
      <c r="D25" s="27">
        <f t="shared" si="5"/>
        <v>87807753.006190479</v>
      </c>
      <c r="E25" s="27">
        <f t="shared" si="5"/>
        <v>154409054.76958331</v>
      </c>
      <c r="F25" s="27">
        <f t="shared" si="5"/>
        <v>162904695.52643225</v>
      </c>
      <c r="G25" s="27">
        <f t="shared" si="5"/>
        <v>180401658.85765329</v>
      </c>
      <c r="H25" s="27">
        <f t="shared" si="5"/>
        <v>149899948.40357238</v>
      </c>
      <c r="I25" s="27">
        <f t="shared" si="5"/>
        <v>150399567.81495166</v>
      </c>
      <c r="J25" s="27">
        <f t="shared" si="5"/>
        <v>150900520.75302109</v>
      </c>
      <c r="K25" s="27">
        <f t="shared" si="5"/>
        <v>165314890.88951018</v>
      </c>
      <c r="L25" s="27">
        <f t="shared" si="5"/>
        <v>165874170.22667921</v>
      </c>
      <c r="M25" s="27">
        <f t="shared" si="5"/>
        <v>166435016.7306312</v>
      </c>
      <c r="N25" s="27">
        <f t="shared" si="5"/>
        <v>191997434.99515694</v>
      </c>
      <c r="O25" s="27">
        <f t="shared" si="5"/>
        <v>167561429.62823513</v>
      </c>
      <c r="P25" s="27">
        <f t="shared" si="5"/>
        <v>168127005.25207862</v>
      </c>
      <c r="Q25" s="27">
        <f t="shared" si="5"/>
        <v>182606246.50318122</v>
      </c>
      <c r="R25" s="27">
        <f t="shared" si="5"/>
        <v>183230646.35236362</v>
      </c>
      <c r="S25" s="27">
        <f t="shared" si="5"/>
        <v>183856863.73810104</v>
      </c>
      <c r="T25" s="27">
        <f t="shared" si="5"/>
        <v>132186448.21175656</v>
      </c>
      <c r="U25" s="27">
        <f t="shared" si="5"/>
        <v>132685571.25855422</v>
      </c>
      <c r="V25" s="27">
        <f t="shared" si="5"/>
        <v>133186201.74067426</v>
      </c>
      <c r="W25" s="27">
        <f t="shared" si="5"/>
        <v>113436245.60857078</v>
      </c>
      <c r="X25" s="27">
        <f t="shared" si="5"/>
        <v>113910143.27166317</v>
      </c>
      <c r="Y25" s="27">
        <f t="shared" si="5"/>
        <v>62689382.764971316</v>
      </c>
    </row>
    <row r="26" spans="1:25" x14ac:dyDescent="0.2">
      <c r="A26" s="25" t="s">
        <v>189</v>
      </c>
      <c r="B26" s="27">
        <f t="shared" ref="B26:Y26" si="6">B16+B19+B25</f>
        <v>-43833333.363333337</v>
      </c>
      <c r="C26" s="27">
        <f t="shared" si="6"/>
        <v>-31166666.636666652</v>
      </c>
      <c r="D26" s="27">
        <f t="shared" si="6"/>
        <v>0</v>
      </c>
      <c r="E26" s="27">
        <f t="shared" si="6"/>
        <v>0</v>
      </c>
      <c r="F26" s="27">
        <f t="shared" si="6"/>
        <v>0</v>
      </c>
      <c r="G26" s="27">
        <f t="shared" si="6"/>
        <v>0</v>
      </c>
      <c r="H26" s="27">
        <f t="shared" si="6"/>
        <v>0</v>
      </c>
      <c r="I26" s="27">
        <f t="shared" si="6"/>
        <v>0</v>
      </c>
      <c r="J26" s="27">
        <f t="shared" si="6"/>
        <v>0</v>
      </c>
      <c r="K26" s="27">
        <f t="shared" si="6"/>
        <v>0</v>
      </c>
      <c r="L26" s="27">
        <f t="shared" si="6"/>
        <v>0</v>
      </c>
      <c r="M26" s="27">
        <f t="shared" si="6"/>
        <v>0</v>
      </c>
      <c r="N26" s="27">
        <f t="shared" si="6"/>
        <v>0</v>
      </c>
      <c r="O26" s="27">
        <f t="shared" si="6"/>
        <v>0</v>
      </c>
      <c r="P26" s="27">
        <f t="shared" si="6"/>
        <v>0</v>
      </c>
      <c r="Q26" s="27">
        <f t="shared" si="6"/>
        <v>0</v>
      </c>
      <c r="R26" s="27">
        <f t="shared" si="6"/>
        <v>0</v>
      </c>
      <c r="S26" s="27">
        <f t="shared" si="6"/>
        <v>0</v>
      </c>
      <c r="T26" s="27">
        <f t="shared" si="6"/>
        <v>0</v>
      </c>
      <c r="U26" s="27">
        <f t="shared" si="6"/>
        <v>0</v>
      </c>
      <c r="V26" s="27">
        <f t="shared" si="6"/>
        <v>0</v>
      </c>
      <c r="W26" s="27">
        <f t="shared" si="6"/>
        <v>0</v>
      </c>
      <c r="X26" s="27">
        <f t="shared" si="6"/>
        <v>0</v>
      </c>
      <c r="Y26" s="27">
        <f t="shared" si="6"/>
        <v>0</v>
      </c>
    </row>
    <row r="27" spans="1:25" x14ac:dyDescent="0.2">
      <c r="A27" s="25" t="s">
        <v>190</v>
      </c>
      <c r="B27" s="27">
        <f t="shared" ref="B27:Y27" si="7">B5+B26</f>
        <v>106166666.63666666</v>
      </c>
      <c r="C27" s="27">
        <f t="shared" si="7"/>
        <v>75000000</v>
      </c>
      <c r="D27" s="27">
        <f t="shared" si="7"/>
        <v>75000000</v>
      </c>
      <c r="E27" s="27">
        <f t="shared" si="7"/>
        <v>75000000</v>
      </c>
      <c r="F27" s="27">
        <f t="shared" si="7"/>
        <v>75000000</v>
      </c>
      <c r="G27" s="27">
        <f t="shared" si="7"/>
        <v>75000000</v>
      </c>
      <c r="H27" s="27">
        <f t="shared" si="7"/>
        <v>75000000</v>
      </c>
      <c r="I27" s="27">
        <f t="shared" si="7"/>
        <v>75000000</v>
      </c>
      <c r="J27" s="27">
        <f t="shared" si="7"/>
        <v>75000000</v>
      </c>
      <c r="K27" s="27">
        <f t="shared" si="7"/>
        <v>75000000</v>
      </c>
      <c r="L27" s="27">
        <f t="shared" si="7"/>
        <v>75000000</v>
      </c>
      <c r="M27" s="27">
        <f t="shared" si="7"/>
        <v>75000000</v>
      </c>
      <c r="N27" s="27">
        <f t="shared" si="7"/>
        <v>75000000</v>
      </c>
      <c r="O27" s="27">
        <f t="shared" si="7"/>
        <v>75000000</v>
      </c>
      <c r="P27" s="27">
        <f t="shared" si="7"/>
        <v>75000000</v>
      </c>
      <c r="Q27" s="27">
        <f t="shared" si="7"/>
        <v>75000000</v>
      </c>
      <c r="R27" s="27">
        <f t="shared" si="7"/>
        <v>75000000</v>
      </c>
      <c r="S27" s="27">
        <f t="shared" si="7"/>
        <v>75000000</v>
      </c>
      <c r="T27" s="27">
        <f t="shared" si="7"/>
        <v>75000000</v>
      </c>
      <c r="U27" s="27">
        <f t="shared" si="7"/>
        <v>75000000</v>
      </c>
      <c r="V27" s="27">
        <f t="shared" si="7"/>
        <v>75000000</v>
      </c>
      <c r="W27" s="27">
        <f t="shared" si="7"/>
        <v>75000000</v>
      </c>
      <c r="X27" s="27">
        <f t="shared" si="7"/>
        <v>75000000</v>
      </c>
      <c r="Y27" s="27">
        <f t="shared" si="7"/>
        <v>75000000</v>
      </c>
    </row>
  </sheetData>
  <mergeCells count="1">
    <mergeCell ref="A1:A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B9BD5"/>
  </sheetPr>
  <dimension ref="A1:AC1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customHeight="1" x14ac:dyDescent="0.2"/>
  <cols>
    <col min="1" max="1" width="28" customWidth="1"/>
    <col min="2" max="25" width="14" customWidth="1"/>
  </cols>
  <sheetData>
    <row r="1" spans="1:29" ht="18" x14ac:dyDescent="0.2">
      <c r="A1" s="5" t="s">
        <v>191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3" spans="1:29" x14ac:dyDescent="0.2">
      <c r="B3" s="37">
        <v>46113</v>
      </c>
      <c r="C3" s="37">
        <v>46143</v>
      </c>
      <c r="D3" s="37">
        <v>46174</v>
      </c>
      <c r="E3" s="37">
        <v>46204</v>
      </c>
      <c r="F3" s="37">
        <v>46235</v>
      </c>
      <c r="G3" s="37">
        <v>46266</v>
      </c>
      <c r="H3" s="37">
        <v>46296</v>
      </c>
      <c r="I3" s="37">
        <v>46327</v>
      </c>
      <c r="J3" s="37">
        <v>46357</v>
      </c>
      <c r="K3" s="37">
        <v>46388</v>
      </c>
      <c r="L3" s="37">
        <v>46419</v>
      </c>
      <c r="M3" s="37">
        <v>46447</v>
      </c>
      <c r="N3" s="37">
        <v>46478</v>
      </c>
      <c r="O3" s="37">
        <v>46508</v>
      </c>
      <c r="P3" s="37">
        <v>46539</v>
      </c>
      <c r="Q3" s="37">
        <v>46569</v>
      </c>
      <c r="R3" s="37">
        <v>46600</v>
      </c>
      <c r="S3" s="37">
        <v>46631</v>
      </c>
      <c r="T3" s="37">
        <v>46661</v>
      </c>
      <c r="U3" s="37">
        <v>46692</v>
      </c>
      <c r="V3" s="37">
        <v>46722</v>
      </c>
      <c r="W3" s="37">
        <v>46753</v>
      </c>
      <c r="X3" s="37">
        <v>46784</v>
      </c>
      <c r="Y3" s="37">
        <v>46813</v>
      </c>
    </row>
    <row r="5" spans="1:29" x14ac:dyDescent="0.2">
      <c r="A5" t="s">
        <v>190</v>
      </c>
      <c r="B5" s="19">
        <f>'Cash Flow'!B27</f>
        <v>106166666.63666666</v>
      </c>
      <c r="C5" s="19">
        <f>'Cash Flow'!C27</f>
        <v>75000000</v>
      </c>
      <c r="D5" s="19">
        <f>'Cash Flow'!D27</f>
        <v>75000000</v>
      </c>
      <c r="E5" s="19">
        <f>'Cash Flow'!E27</f>
        <v>75000000</v>
      </c>
      <c r="F5" s="19">
        <f>'Cash Flow'!F27</f>
        <v>75000000</v>
      </c>
      <c r="G5" s="19">
        <f>'Cash Flow'!G27</f>
        <v>75000000</v>
      </c>
      <c r="H5" s="19">
        <f>'Cash Flow'!H27</f>
        <v>75000000</v>
      </c>
      <c r="I5" s="19">
        <f>'Cash Flow'!I27</f>
        <v>75000000</v>
      </c>
      <c r="J5" s="19">
        <f>'Cash Flow'!J27</f>
        <v>75000000</v>
      </c>
      <c r="K5" s="19">
        <f>'Cash Flow'!K27</f>
        <v>75000000</v>
      </c>
      <c r="L5" s="19">
        <f>'Cash Flow'!L27</f>
        <v>75000000</v>
      </c>
      <c r="M5" s="19">
        <f>'Cash Flow'!M27</f>
        <v>75000000</v>
      </c>
      <c r="N5" s="19">
        <f>'Cash Flow'!N27</f>
        <v>75000000</v>
      </c>
      <c r="O5" s="19">
        <f>'Cash Flow'!O27</f>
        <v>75000000</v>
      </c>
      <c r="P5" s="19">
        <f>'Cash Flow'!P27</f>
        <v>75000000</v>
      </c>
      <c r="Q5" s="19">
        <f>'Cash Flow'!Q27</f>
        <v>75000000</v>
      </c>
      <c r="R5" s="19">
        <f>'Cash Flow'!R27</f>
        <v>75000000</v>
      </c>
      <c r="S5" s="19">
        <f>'Cash Flow'!S27</f>
        <v>75000000</v>
      </c>
      <c r="T5" s="19">
        <f>'Cash Flow'!T27</f>
        <v>75000000</v>
      </c>
      <c r="U5" s="19">
        <f>'Cash Flow'!U27</f>
        <v>75000000</v>
      </c>
      <c r="V5" s="19">
        <f>'Cash Flow'!V27</f>
        <v>75000000</v>
      </c>
      <c r="W5" s="19">
        <f>'Cash Flow'!W27</f>
        <v>75000000</v>
      </c>
      <c r="X5" s="19">
        <f>'Cash Flow'!X27</f>
        <v>75000000</v>
      </c>
      <c r="Y5" s="19">
        <f>'Cash Flow'!Y27</f>
        <v>75000000</v>
      </c>
    </row>
    <row r="6" spans="1:29" x14ac:dyDescent="0.2">
      <c r="A6" t="s">
        <v>192</v>
      </c>
      <c r="B6" s="19">
        <f>Assumptions!$E$10</f>
        <v>250000000</v>
      </c>
      <c r="C6" s="19">
        <f>Assumptions!$E$10</f>
        <v>250000000</v>
      </c>
      <c r="D6" s="19">
        <f>Assumptions!$E$10</f>
        <v>250000000</v>
      </c>
      <c r="E6" s="19">
        <f>Assumptions!$E$10</f>
        <v>250000000</v>
      </c>
      <c r="F6" s="19">
        <f>Assumptions!$E$10</f>
        <v>250000000</v>
      </c>
      <c r="G6" s="19">
        <f>Assumptions!$E$10</f>
        <v>250000000</v>
      </c>
      <c r="H6" s="19">
        <f>Assumptions!$E$10</f>
        <v>250000000</v>
      </c>
      <c r="I6" s="19">
        <f>Assumptions!$E$10</f>
        <v>250000000</v>
      </c>
      <c r="J6" s="19">
        <f>Assumptions!$E$10</f>
        <v>250000000</v>
      </c>
      <c r="K6" s="19">
        <f>Assumptions!$E$10</f>
        <v>250000000</v>
      </c>
      <c r="L6" s="19">
        <f>Assumptions!$E$10</f>
        <v>250000000</v>
      </c>
      <c r="M6" s="19">
        <f>Assumptions!$E$10</f>
        <v>250000000</v>
      </c>
      <c r="N6" s="19">
        <f>Assumptions!$E$10</f>
        <v>250000000</v>
      </c>
      <c r="O6" s="19">
        <f>Assumptions!$E$10</f>
        <v>250000000</v>
      </c>
      <c r="P6" s="19">
        <f>Assumptions!$E$10</f>
        <v>250000000</v>
      </c>
      <c r="Q6" s="19">
        <f>Assumptions!$E$10</f>
        <v>250000000</v>
      </c>
      <c r="R6" s="19">
        <f>Assumptions!$E$10</f>
        <v>250000000</v>
      </c>
      <c r="S6" s="19">
        <f>Assumptions!$E$10</f>
        <v>250000000</v>
      </c>
      <c r="T6" s="19">
        <f>Assumptions!$E$10</f>
        <v>250000000</v>
      </c>
      <c r="U6" s="19">
        <f>Assumptions!$E$10</f>
        <v>250000000</v>
      </c>
      <c r="V6" s="19">
        <f>Assumptions!$E$10</f>
        <v>250000000</v>
      </c>
      <c r="W6" s="19">
        <f>Assumptions!$E$10</f>
        <v>250000000</v>
      </c>
      <c r="X6" s="19">
        <f>Assumptions!$E$10</f>
        <v>250000000</v>
      </c>
      <c r="Y6" s="19">
        <f>Assumptions!$E$10</f>
        <v>250000000</v>
      </c>
    </row>
    <row r="7" spans="1:29" x14ac:dyDescent="0.2">
      <c r="A7" s="25" t="s">
        <v>193</v>
      </c>
      <c r="B7" s="27">
        <f t="shared" ref="B7:Y7" si="0">B5+B6</f>
        <v>356166666.63666666</v>
      </c>
      <c r="C7" s="27">
        <f t="shared" si="0"/>
        <v>325000000</v>
      </c>
      <c r="D7" s="27">
        <f t="shared" si="0"/>
        <v>325000000</v>
      </c>
      <c r="E7" s="27">
        <f t="shared" si="0"/>
        <v>325000000</v>
      </c>
      <c r="F7" s="27">
        <f t="shared" si="0"/>
        <v>325000000</v>
      </c>
      <c r="G7" s="27">
        <f t="shared" si="0"/>
        <v>325000000</v>
      </c>
      <c r="H7" s="27">
        <f t="shared" si="0"/>
        <v>325000000</v>
      </c>
      <c r="I7" s="27">
        <f t="shared" si="0"/>
        <v>325000000</v>
      </c>
      <c r="J7" s="27">
        <f t="shared" si="0"/>
        <v>325000000</v>
      </c>
      <c r="K7" s="27">
        <f t="shared" si="0"/>
        <v>325000000</v>
      </c>
      <c r="L7" s="27">
        <f t="shared" si="0"/>
        <v>325000000</v>
      </c>
      <c r="M7" s="27">
        <f t="shared" si="0"/>
        <v>325000000</v>
      </c>
      <c r="N7" s="27">
        <f t="shared" si="0"/>
        <v>325000000</v>
      </c>
      <c r="O7" s="27">
        <f t="shared" si="0"/>
        <v>325000000</v>
      </c>
      <c r="P7" s="27">
        <f t="shared" si="0"/>
        <v>325000000</v>
      </c>
      <c r="Q7" s="27">
        <f t="shared" si="0"/>
        <v>325000000</v>
      </c>
      <c r="R7" s="27">
        <f t="shared" si="0"/>
        <v>325000000</v>
      </c>
      <c r="S7" s="27">
        <f t="shared" si="0"/>
        <v>325000000</v>
      </c>
      <c r="T7" s="27">
        <f t="shared" si="0"/>
        <v>325000000</v>
      </c>
      <c r="U7" s="27">
        <f t="shared" si="0"/>
        <v>325000000</v>
      </c>
      <c r="V7" s="27">
        <f t="shared" si="0"/>
        <v>325000000</v>
      </c>
      <c r="W7" s="27">
        <f t="shared" si="0"/>
        <v>325000000</v>
      </c>
      <c r="X7" s="27">
        <f t="shared" si="0"/>
        <v>325000000</v>
      </c>
      <c r="Y7" s="27">
        <f t="shared" si="0"/>
        <v>325000000</v>
      </c>
    </row>
    <row r="8" spans="1:29" x14ac:dyDescent="0.2">
      <c r="A8" t="s">
        <v>194</v>
      </c>
      <c r="B8" s="19">
        <f>Assumptions!$E$9</f>
        <v>75000000</v>
      </c>
      <c r="C8" s="19">
        <f>Assumptions!$E$9</f>
        <v>75000000</v>
      </c>
      <c r="D8" s="19">
        <f>Assumptions!$E$9</f>
        <v>75000000</v>
      </c>
      <c r="E8" s="19">
        <f>Assumptions!$E$9</f>
        <v>75000000</v>
      </c>
      <c r="F8" s="19">
        <f>Assumptions!$E$9</f>
        <v>75000000</v>
      </c>
      <c r="G8" s="19">
        <f>Assumptions!$E$9</f>
        <v>75000000</v>
      </c>
      <c r="H8" s="19">
        <f>Assumptions!$E$9</f>
        <v>75000000</v>
      </c>
      <c r="I8" s="19">
        <f>Assumptions!$E$9</f>
        <v>75000000</v>
      </c>
      <c r="J8" s="19">
        <f>Assumptions!$E$9</f>
        <v>75000000</v>
      </c>
      <c r="K8" s="19">
        <f>Assumptions!$E$9</f>
        <v>75000000</v>
      </c>
      <c r="L8" s="19">
        <f>Assumptions!$E$9</f>
        <v>75000000</v>
      </c>
      <c r="M8" s="19">
        <f>Assumptions!$E$9</f>
        <v>75000000</v>
      </c>
      <c r="N8" s="19">
        <f>Assumptions!$E$9</f>
        <v>75000000</v>
      </c>
      <c r="O8" s="19">
        <f>Assumptions!$E$9</f>
        <v>75000000</v>
      </c>
      <c r="P8" s="19">
        <f>Assumptions!$E$9</f>
        <v>75000000</v>
      </c>
      <c r="Q8" s="19">
        <f>Assumptions!$E$9</f>
        <v>75000000</v>
      </c>
      <c r="R8" s="19">
        <f>Assumptions!$E$9</f>
        <v>75000000</v>
      </c>
      <c r="S8" s="19">
        <f>Assumptions!$E$9</f>
        <v>75000000</v>
      </c>
      <c r="T8" s="19">
        <f>Assumptions!$E$9</f>
        <v>75000000</v>
      </c>
      <c r="U8" s="19">
        <f>Assumptions!$E$9</f>
        <v>75000000</v>
      </c>
      <c r="V8" s="19">
        <f>Assumptions!$E$9</f>
        <v>75000000</v>
      </c>
      <c r="W8" s="19">
        <f>Assumptions!$E$9</f>
        <v>75000000</v>
      </c>
      <c r="X8" s="19">
        <f>Assumptions!$E$9</f>
        <v>75000000</v>
      </c>
      <c r="Y8" s="19">
        <f>Assumptions!$E$9</f>
        <v>75000000</v>
      </c>
    </row>
    <row r="9" spans="1:29" x14ac:dyDescent="0.2">
      <c r="A9" s="25" t="s">
        <v>195</v>
      </c>
      <c r="B9" s="27">
        <f t="shared" ref="B9:Y9" si="1">B7-B8</f>
        <v>281166666.63666666</v>
      </c>
      <c r="C9" s="27">
        <f t="shared" si="1"/>
        <v>250000000</v>
      </c>
      <c r="D9" s="27">
        <f t="shared" si="1"/>
        <v>250000000</v>
      </c>
      <c r="E9" s="27">
        <f t="shared" si="1"/>
        <v>250000000</v>
      </c>
      <c r="F9" s="27">
        <f t="shared" si="1"/>
        <v>250000000</v>
      </c>
      <c r="G9" s="27">
        <f t="shared" si="1"/>
        <v>250000000</v>
      </c>
      <c r="H9" s="27">
        <f t="shared" si="1"/>
        <v>250000000</v>
      </c>
      <c r="I9" s="27">
        <f t="shared" si="1"/>
        <v>250000000</v>
      </c>
      <c r="J9" s="27">
        <f t="shared" si="1"/>
        <v>250000000</v>
      </c>
      <c r="K9" s="27">
        <f t="shared" si="1"/>
        <v>250000000</v>
      </c>
      <c r="L9" s="27">
        <f t="shared" si="1"/>
        <v>250000000</v>
      </c>
      <c r="M9" s="27">
        <f t="shared" si="1"/>
        <v>250000000</v>
      </c>
      <c r="N9" s="27">
        <f t="shared" si="1"/>
        <v>250000000</v>
      </c>
      <c r="O9" s="27">
        <f t="shared" si="1"/>
        <v>250000000</v>
      </c>
      <c r="P9" s="27">
        <f t="shared" si="1"/>
        <v>250000000</v>
      </c>
      <c r="Q9" s="27">
        <f t="shared" si="1"/>
        <v>250000000</v>
      </c>
      <c r="R9" s="27">
        <f t="shared" si="1"/>
        <v>250000000</v>
      </c>
      <c r="S9" s="27">
        <f t="shared" si="1"/>
        <v>250000000</v>
      </c>
      <c r="T9" s="27">
        <f t="shared" si="1"/>
        <v>250000000</v>
      </c>
      <c r="U9" s="27">
        <f t="shared" si="1"/>
        <v>250000000</v>
      </c>
      <c r="V9" s="27">
        <f t="shared" si="1"/>
        <v>250000000</v>
      </c>
      <c r="W9" s="27">
        <f t="shared" si="1"/>
        <v>250000000</v>
      </c>
      <c r="X9" s="27">
        <f t="shared" si="1"/>
        <v>250000000</v>
      </c>
      <c r="Y9" s="27">
        <f t="shared" si="1"/>
        <v>250000000</v>
      </c>
    </row>
    <row r="10" spans="1:29" x14ac:dyDescent="0.2">
      <c r="A10" t="s">
        <v>196</v>
      </c>
      <c r="B10" t="str">
        <f t="shared" ref="B10:Y10" si="2">IF(B9&lt;0,"Funding Gap","OK")</f>
        <v>OK</v>
      </c>
      <c r="C10" t="str">
        <f t="shared" si="2"/>
        <v>OK</v>
      </c>
      <c r="D10" t="str">
        <f t="shared" si="2"/>
        <v>OK</v>
      </c>
      <c r="E10" t="str">
        <f t="shared" si="2"/>
        <v>OK</v>
      </c>
      <c r="F10" t="str">
        <f t="shared" si="2"/>
        <v>OK</v>
      </c>
      <c r="G10" t="str">
        <f t="shared" si="2"/>
        <v>OK</v>
      </c>
      <c r="H10" t="str">
        <f t="shared" si="2"/>
        <v>OK</v>
      </c>
      <c r="I10" t="str">
        <f t="shared" si="2"/>
        <v>OK</v>
      </c>
      <c r="J10" t="str">
        <f t="shared" si="2"/>
        <v>OK</v>
      </c>
      <c r="K10" t="str">
        <f t="shared" si="2"/>
        <v>OK</v>
      </c>
      <c r="L10" t="str">
        <f t="shared" si="2"/>
        <v>OK</v>
      </c>
      <c r="M10" t="str">
        <f t="shared" si="2"/>
        <v>OK</v>
      </c>
      <c r="N10" t="str">
        <f t="shared" si="2"/>
        <v>OK</v>
      </c>
      <c r="O10" t="str">
        <f t="shared" si="2"/>
        <v>OK</v>
      </c>
      <c r="P10" t="str">
        <f t="shared" si="2"/>
        <v>OK</v>
      </c>
      <c r="Q10" t="str">
        <f t="shared" si="2"/>
        <v>OK</v>
      </c>
      <c r="R10" t="str">
        <f t="shared" si="2"/>
        <v>OK</v>
      </c>
      <c r="S10" t="str">
        <f t="shared" si="2"/>
        <v>OK</v>
      </c>
      <c r="T10" t="str">
        <f t="shared" si="2"/>
        <v>OK</v>
      </c>
      <c r="U10" t="str">
        <f t="shared" si="2"/>
        <v>OK</v>
      </c>
      <c r="V10" t="str">
        <f t="shared" si="2"/>
        <v>OK</v>
      </c>
      <c r="W10" t="str">
        <f t="shared" si="2"/>
        <v>OK</v>
      </c>
      <c r="X10" t="str">
        <f t="shared" si="2"/>
        <v>OK</v>
      </c>
      <c r="Y10" t="str">
        <f t="shared" si="2"/>
        <v>OK</v>
      </c>
    </row>
    <row r="12" spans="1:29" x14ac:dyDescent="0.2">
      <c r="A12" t="s">
        <v>197</v>
      </c>
      <c r="B12" s="19">
        <f>MIN(B9:Y9)</f>
        <v>250000000</v>
      </c>
    </row>
    <row r="13" spans="1:29" x14ac:dyDescent="0.2">
      <c r="A13" t="s">
        <v>198</v>
      </c>
      <c r="B13" s="19">
        <f>MIN(0,B12)</f>
        <v>0</v>
      </c>
    </row>
  </sheetData>
  <mergeCells count="1">
    <mergeCell ref="A1:AC1"/>
  </mergeCells>
  <conditionalFormatting sqref="B9:Y9">
    <cfRule type="cellIs" dxfId="1" priority="2" operator="lessThan">
      <formula>0</formula>
    </cfRule>
  </conditionalFormatting>
  <conditionalFormatting sqref="B10:Y10">
    <cfRule type="cellIs" dxfId="0" priority="3" operator="equal">
      <formula>"Funding Gap"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O17"/>
  <sheetViews>
    <sheetView showGridLines="0" zoomScaleNormal="100" workbookViewId="0"/>
  </sheetViews>
  <sheetFormatPr baseColWidth="10" defaultColWidth="8.6640625" defaultRowHeight="15" customHeight="1" x14ac:dyDescent="0.2"/>
  <cols>
    <col min="1" max="1" width="26" customWidth="1"/>
    <col min="2" max="2" width="22" customWidth="1"/>
    <col min="3" max="7" width="14" customWidth="1"/>
  </cols>
  <sheetData>
    <row r="1" spans="1:15" ht="18" x14ac:dyDescent="0.2">
      <c r="A1" s="5" t="s">
        <v>199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2">
      <c r="A3" s="41" t="s">
        <v>200</v>
      </c>
    </row>
    <row r="4" spans="1:15" x14ac:dyDescent="0.2">
      <c r="B4" s="41" t="s">
        <v>201</v>
      </c>
      <c r="C4" s="18">
        <v>-0.1</v>
      </c>
      <c r="D4" s="18">
        <v>-0.05</v>
      </c>
      <c r="E4" s="18">
        <v>0</v>
      </c>
      <c r="F4" s="18">
        <v>0.05</v>
      </c>
      <c r="G4" s="18">
        <v>0.1</v>
      </c>
    </row>
    <row r="5" spans="1:15" x14ac:dyDescent="0.2">
      <c r="B5" s="18">
        <v>-0.1</v>
      </c>
      <c r="C5" s="42">
        <f>('Cash Flow'!Y27 + -0.1*0.6*'Sales Forecast'!Y30 + -0.1*0.5*'Sales Forecast'!Y30)/1000000</f>
        <v>57.52028395386953</v>
      </c>
      <c r="D5" s="42">
        <f>('Cash Flow'!Y27 + -0.1*0.6*'Sales Forecast'!Y30 + -0.05*0.5*'Sales Forecast'!Y30)/1000000</f>
        <v>61.492946691626457</v>
      </c>
      <c r="E5" s="42">
        <f>('Cash Flow'!Y27 + -0.1*0.6*'Sales Forecast'!Y30 + 0*0.5*'Sales Forecast'!Y30)/1000000</f>
        <v>65.465609429383377</v>
      </c>
      <c r="F5" s="42">
        <f>('Cash Flow'!Y27 + -0.1*0.6*'Sales Forecast'!Y30 + 0.05*0.5*'Sales Forecast'!Y30)/1000000</f>
        <v>69.438272167140312</v>
      </c>
      <c r="G5" s="42">
        <f>('Cash Flow'!Y27 + -0.1*0.6*'Sales Forecast'!Y30 + 0.1*0.5*'Sales Forecast'!Y30)/1000000</f>
        <v>73.410934904897232</v>
      </c>
    </row>
    <row r="6" spans="1:15" x14ac:dyDescent="0.2">
      <c r="B6" s="18">
        <v>-0.05</v>
      </c>
      <c r="C6" s="42">
        <f>('Cash Flow'!Y27 + -0.05*0.6*'Sales Forecast'!Y30 + -0.1*0.5*'Sales Forecast'!Y30)/1000000</f>
        <v>62.287479239177827</v>
      </c>
      <c r="D6" s="42">
        <f>('Cash Flow'!Y27 + -0.05*0.6*'Sales Forecast'!Y30 + -0.05*0.5*'Sales Forecast'!Y30)/1000000</f>
        <v>66.260141976934761</v>
      </c>
      <c r="E6" s="42">
        <f>('Cash Flow'!Y27 + -0.05*0.6*'Sales Forecast'!Y30 + 0*0.5*'Sales Forecast'!Y30)/1000000</f>
        <v>70.232804714691682</v>
      </c>
      <c r="F6" s="42">
        <f>('Cash Flow'!Y27 + -0.05*0.6*'Sales Forecast'!Y30 + 0.05*0.5*'Sales Forecast'!Y30)/1000000</f>
        <v>74.205467452448602</v>
      </c>
      <c r="G6" s="42">
        <f>('Cash Flow'!Y27 + -0.05*0.6*'Sales Forecast'!Y30 + 0.1*0.5*'Sales Forecast'!Y30)/1000000</f>
        <v>78.178130190205536</v>
      </c>
    </row>
    <row r="7" spans="1:15" x14ac:dyDescent="0.2">
      <c r="B7" s="18">
        <v>0</v>
      </c>
      <c r="C7" s="42">
        <f>('Cash Flow'!Y27 + 0*0.6*'Sales Forecast'!Y30 + -0.1*0.5*'Sales Forecast'!Y30)/1000000</f>
        <v>67.054674524486146</v>
      </c>
      <c r="D7" s="42">
        <f>('Cash Flow'!Y27 + 0*0.6*'Sales Forecast'!Y30 + -0.05*0.5*'Sales Forecast'!Y30)/1000000</f>
        <v>71.02733726224308</v>
      </c>
      <c r="E7" s="42">
        <f>('Cash Flow'!Y27 + 0*0.6*'Sales Forecast'!Y30 + 0*0.5*'Sales Forecast'!Y30)/1000000</f>
        <v>75</v>
      </c>
      <c r="F7" s="42">
        <f>('Cash Flow'!Y27 + 0*0.6*'Sales Forecast'!Y30 + 0.05*0.5*'Sales Forecast'!Y30)/1000000</f>
        <v>78.97266273775692</v>
      </c>
      <c r="G7" s="42">
        <f>('Cash Flow'!Y27 + 0*0.6*'Sales Forecast'!Y30 + 0.1*0.5*'Sales Forecast'!Y30)/1000000</f>
        <v>82.94532547551384</v>
      </c>
    </row>
    <row r="8" spans="1:15" x14ac:dyDescent="0.2">
      <c r="B8" s="18">
        <v>0.05</v>
      </c>
      <c r="C8" s="42">
        <f>('Cash Flow'!Y27 + 0.05*0.6*'Sales Forecast'!Y30 + -0.1*0.5*'Sales Forecast'!Y30)/1000000</f>
        <v>71.821869809794464</v>
      </c>
      <c r="D8" s="42">
        <f>('Cash Flow'!Y27 + 0.05*0.6*'Sales Forecast'!Y30 + -0.05*0.5*'Sales Forecast'!Y30)/1000000</f>
        <v>75.794532547551398</v>
      </c>
      <c r="E8" s="42">
        <f>('Cash Flow'!Y27 + 0.05*0.6*'Sales Forecast'!Y30 + 0*0.5*'Sales Forecast'!Y30)/1000000</f>
        <v>79.767195285308318</v>
      </c>
      <c r="F8" s="42">
        <f>('Cash Flow'!Y27 + 0.05*0.6*'Sales Forecast'!Y30 + 0.05*0.5*'Sales Forecast'!Y30)/1000000</f>
        <v>83.739858023065239</v>
      </c>
      <c r="G8" s="42">
        <f>('Cash Flow'!Y27 + 0.05*0.6*'Sales Forecast'!Y30 + 0.1*0.5*'Sales Forecast'!Y30)/1000000</f>
        <v>87.712520760822159</v>
      </c>
    </row>
    <row r="9" spans="1:15" x14ac:dyDescent="0.2">
      <c r="B9" s="18">
        <v>0.1</v>
      </c>
      <c r="C9" s="42">
        <f>('Cash Flow'!Y27 + 0.1*0.6*'Sales Forecast'!Y30 + -0.1*0.5*'Sales Forecast'!Y30)/1000000</f>
        <v>76.589065095102768</v>
      </c>
      <c r="D9" s="42">
        <f>('Cash Flow'!Y27 + 0.1*0.6*'Sales Forecast'!Y30 + -0.05*0.5*'Sales Forecast'!Y30)/1000000</f>
        <v>80.561727832859688</v>
      </c>
      <c r="E9" s="42">
        <f>('Cash Flow'!Y27 + 0.1*0.6*'Sales Forecast'!Y30 + 0*0.5*'Sales Forecast'!Y30)/1000000</f>
        <v>84.534390570616623</v>
      </c>
      <c r="F9" s="42">
        <f>('Cash Flow'!Y27 + 0.1*0.6*'Sales Forecast'!Y30 + 0.05*0.5*'Sales Forecast'!Y30)/1000000</f>
        <v>88.507053308373543</v>
      </c>
      <c r="G9" s="42">
        <f>('Cash Flow'!Y27 + 0.1*0.6*'Sales Forecast'!Y30 + 0.1*0.5*'Sales Forecast'!Y30)/1000000</f>
        <v>92.479716046130463</v>
      </c>
    </row>
    <row r="12" spans="1:15" x14ac:dyDescent="0.2">
      <c r="A12" s="41" t="s">
        <v>202</v>
      </c>
    </row>
    <row r="13" spans="1:15" x14ac:dyDescent="0.2">
      <c r="B13" s="41" t="s">
        <v>203</v>
      </c>
      <c r="C13" s="18">
        <v>-0.01</v>
      </c>
      <c r="D13" s="18">
        <v>0</v>
      </c>
      <c r="E13" s="18">
        <v>0.01</v>
      </c>
      <c r="F13" s="18">
        <v>0.02</v>
      </c>
    </row>
    <row r="14" spans="1:15" x14ac:dyDescent="0.2">
      <c r="B14" s="18">
        <v>-0.05</v>
      </c>
      <c r="C14" s="42">
        <f>MAX(0,-(Liquidity!$B$13 + -0.05*0.4*SUM('Construction Costs'!D29:AA29) + -0.01*0.8*SUM('Debt Model'!D36:AA36))/1000000)</f>
        <v>71.691691660148663</v>
      </c>
      <c r="D14" s="42">
        <f>MAX(0,-(Liquidity!$B$13 + -0.05*0.4*SUM('Construction Costs'!D29:AA29) + 0*0.8*SUM('Debt Model'!D36:AA36))/1000000)</f>
        <v>71.691691660148663</v>
      </c>
      <c r="E14" s="42">
        <f>MAX(0,-(Liquidity!$B$13 + -0.05*0.4*SUM('Construction Costs'!D29:AA29) + 0.01*0.8*SUM('Debt Model'!D36:AA36))/1000000)</f>
        <v>71.691691660148663</v>
      </c>
      <c r="F14" s="42">
        <f>MAX(0,-(Liquidity!$B$13 + -0.05*0.4*SUM('Construction Costs'!D29:AA29) + 0.02*0.8*SUM('Debt Model'!D36:AA36))/1000000)</f>
        <v>71.691691660148663</v>
      </c>
    </row>
    <row r="15" spans="1:15" x14ac:dyDescent="0.2">
      <c r="B15" s="18">
        <v>0</v>
      </c>
      <c r="C15" s="42">
        <f>MAX(0,-(Liquidity!$B$13 + 0*0.4*SUM('Construction Costs'!D29:AA29) + -0.01*0.8*SUM('Debt Model'!D36:AA36))/1000000)</f>
        <v>0</v>
      </c>
      <c r="D15" s="42">
        <f>MAX(0,-(Liquidity!$B$13 + 0*0.4*SUM('Construction Costs'!D29:AA29) + 0*0.8*SUM('Debt Model'!D36:AA36))/1000000)</f>
        <v>0</v>
      </c>
      <c r="E15" s="42">
        <f>MAX(0,-(Liquidity!$B$13 + 0*0.4*SUM('Construction Costs'!D29:AA29) + 0.01*0.8*SUM('Debt Model'!D36:AA36))/1000000)</f>
        <v>0</v>
      </c>
      <c r="F15" s="42">
        <f>MAX(0,-(Liquidity!$B$13 + 0*0.4*SUM('Construction Costs'!D29:AA29) + 0.02*0.8*SUM('Debt Model'!D36:AA36))/1000000)</f>
        <v>0</v>
      </c>
    </row>
    <row r="16" spans="1:15" x14ac:dyDescent="0.2">
      <c r="B16" s="18">
        <v>0.05</v>
      </c>
      <c r="C16" s="42">
        <f>MAX(0,-(Liquidity!$B$13 + 0.05*0.4*SUM('Construction Costs'!D29:AA29) + -0.01*0.8*SUM('Debt Model'!D36:AA36))/1000000)</f>
        <v>0</v>
      </c>
      <c r="D16" s="42">
        <f>MAX(0,-(Liquidity!$B$13 + 0.05*0.4*SUM('Construction Costs'!D29:AA29) + 0*0.8*SUM('Debt Model'!D36:AA36))/1000000)</f>
        <v>0</v>
      </c>
      <c r="E16" s="42">
        <f>MAX(0,-(Liquidity!$B$13 + 0.05*0.4*SUM('Construction Costs'!D29:AA29) + 0.01*0.8*SUM('Debt Model'!D36:AA36))/1000000)</f>
        <v>0</v>
      </c>
      <c r="F16" s="42">
        <f>MAX(0,-(Liquidity!$B$13 + 0.05*0.4*SUM('Construction Costs'!D29:AA29) + 0.02*0.8*SUM('Debt Model'!D36:AA36))/1000000)</f>
        <v>0</v>
      </c>
    </row>
    <row r="17" spans="2:6" x14ac:dyDescent="0.2">
      <c r="B17" s="18">
        <v>0.1</v>
      </c>
      <c r="C17" s="42">
        <f>MAX(0,-(Liquidity!$B$13 + 0.1*0.4*SUM('Construction Costs'!D29:AA29) + -0.01*0.8*SUM('Debt Model'!D36:AA36))/1000000)</f>
        <v>0</v>
      </c>
      <c r="D17" s="42">
        <f>MAX(0,-(Liquidity!$B$13 + 0.1*0.4*SUM('Construction Costs'!D29:AA29) + 0*0.8*SUM('Debt Model'!D36:AA36))/1000000)</f>
        <v>0</v>
      </c>
      <c r="E17" s="42">
        <f>MAX(0,-(Liquidity!$B$13 + 0.1*0.4*SUM('Construction Costs'!D29:AA29) + 0.01*0.8*SUM('Debt Model'!D36:AA36))/1000000)</f>
        <v>0</v>
      </c>
      <c r="F17" s="42">
        <f>MAX(0,-(Liquidity!$B$13 + 0.1*0.4*SUM('Construction Costs'!D29:AA29) + 0.02*0.8*SUM('Debt Model'!D36:AA36))/1000000)</f>
        <v>0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8"/>
  </sheetPr>
  <dimension ref="A1:Y57"/>
  <sheetViews>
    <sheetView showGridLines="0" zoomScaleNormal="100" workbookViewId="0"/>
  </sheetViews>
  <sheetFormatPr baseColWidth="10" defaultColWidth="8.6640625" defaultRowHeight="15" customHeight="1" x14ac:dyDescent="0.2"/>
  <cols>
    <col min="1" max="1" width="20" customWidth="1"/>
    <col min="2" max="4" width="16" customWidth="1"/>
    <col min="5" max="5" width="20" customWidth="1"/>
    <col min="6" max="7" width="16" customWidth="1"/>
  </cols>
  <sheetData>
    <row r="1" spans="1:20" ht="18" x14ac:dyDescent="0.2">
      <c r="A1" s="5" t="s">
        <v>204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3" spans="1:20" x14ac:dyDescent="0.2">
      <c r="A3" s="3" t="s">
        <v>205</v>
      </c>
      <c r="B3" s="3"/>
      <c r="C3" s="3"/>
      <c r="E3" s="3" t="s">
        <v>198</v>
      </c>
      <c r="F3" s="3"/>
      <c r="G3" s="3"/>
    </row>
    <row r="4" spans="1:20" ht="16" x14ac:dyDescent="0.2">
      <c r="A4" s="2">
        <f>'Cash Flow'!Y27</f>
        <v>75000000</v>
      </c>
      <c r="B4" s="2"/>
      <c r="C4" s="2"/>
      <c r="E4" s="2">
        <f>Liquidity!$B$13</f>
        <v>0</v>
      </c>
      <c r="F4" s="2"/>
      <c r="G4" s="2"/>
    </row>
    <row r="6" spans="1:20" x14ac:dyDescent="0.2">
      <c r="A6" s="3" t="s">
        <v>206</v>
      </c>
      <c r="B6" s="3"/>
      <c r="C6" s="3"/>
      <c r="E6" s="3" t="s">
        <v>115</v>
      </c>
      <c r="F6" s="3"/>
      <c r="G6" s="3"/>
    </row>
    <row r="7" spans="1:20" ht="16" x14ac:dyDescent="0.2">
      <c r="A7" s="1">
        <f>SUM('Sales Forecast'!C29:Y29)</f>
        <v>571.14399999999989</v>
      </c>
      <c r="B7" s="1"/>
      <c r="C7" s="1"/>
      <c r="E7" s="2">
        <f>SUM('Sales Forecast'!C30:Y30)</f>
        <v>9020374553.4958134</v>
      </c>
      <c r="F7" s="2"/>
      <c r="G7" s="2"/>
    </row>
    <row r="9" spans="1:20" x14ac:dyDescent="0.2">
      <c r="A9" s="3" t="s">
        <v>122</v>
      </c>
      <c r="B9" s="3"/>
      <c r="C9" s="3"/>
      <c r="E9" s="3" t="s">
        <v>207</v>
      </c>
      <c r="F9" s="3"/>
      <c r="G9" s="3"/>
    </row>
    <row r="10" spans="1:20" ht="16" x14ac:dyDescent="0.2">
      <c r="A10" s="2">
        <f>SUM(Collections!C29:Y29)</f>
        <v>295100255.4217996</v>
      </c>
      <c r="B10" s="2"/>
      <c r="C10" s="2"/>
      <c r="E10" s="2">
        <f>SUM('Construction Costs'!D29:AA29)</f>
        <v>3584584583.0074325</v>
      </c>
      <c r="F10" s="2"/>
      <c r="G10" s="2"/>
    </row>
    <row r="12" spans="1:20" x14ac:dyDescent="0.2">
      <c r="A12" s="3" t="s">
        <v>208</v>
      </c>
      <c r="B12" s="3"/>
      <c r="C12" s="3"/>
      <c r="E12" s="3" t="s">
        <v>209</v>
      </c>
      <c r="F12" s="3"/>
      <c r="G12" s="3"/>
    </row>
    <row r="13" spans="1:20" ht="16" x14ac:dyDescent="0.2">
      <c r="A13" s="2">
        <f>SUM('Cash Flow'!B21:Y21)</f>
        <v>179008577.28415489</v>
      </c>
      <c r="B13" s="2"/>
      <c r="C13" s="2"/>
      <c r="E13" s="2">
        <f>SUM('Cash Flow'!B24:Y24)</f>
        <v>3395802469.7021718</v>
      </c>
      <c r="F13" s="2"/>
      <c r="G13" s="2"/>
    </row>
    <row r="18" spans="1:25" x14ac:dyDescent="0.2">
      <c r="A18" s="9" t="s">
        <v>210</v>
      </c>
      <c r="B18" s="37">
        <f>'Cash Flow'!B3</f>
        <v>46113</v>
      </c>
      <c r="C18" s="37">
        <f>'Cash Flow'!C3</f>
        <v>46143</v>
      </c>
      <c r="D18" s="37">
        <f>'Cash Flow'!D3</f>
        <v>46174</v>
      </c>
      <c r="E18" s="37">
        <f>'Cash Flow'!E3</f>
        <v>46204</v>
      </c>
      <c r="F18" s="37">
        <f>'Cash Flow'!F3</f>
        <v>46235</v>
      </c>
      <c r="G18" s="37">
        <f>'Cash Flow'!G3</f>
        <v>46266</v>
      </c>
      <c r="H18" s="37">
        <f>'Cash Flow'!H3</f>
        <v>46296</v>
      </c>
      <c r="I18" s="37">
        <f>'Cash Flow'!I3</f>
        <v>46327</v>
      </c>
      <c r="J18" s="37">
        <f>'Cash Flow'!J3</f>
        <v>46357</v>
      </c>
      <c r="K18" s="37">
        <f>'Cash Flow'!K3</f>
        <v>46388</v>
      </c>
      <c r="L18" s="37">
        <f>'Cash Flow'!L3</f>
        <v>46419</v>
      </c>
      <c r="M18" s="37">
        <f>'Cash Flow'!M3</f>
        <v>46447</v>
      </c>
      <c r="N18" s="37">
        <f>'Cash Flow'!N3</f>
        <v>46478</v>
      </c>
      <c r="O18" s="37">
        <f>'Cash Flow'!O3</f>
        <v>46508</v>
      </c>
      <c r="P18" s="37">
        <f>'Cash Flow'!P3</f>
        <v>46539</v>
      </c>
      <c r="Q18" s="37">
        <f>'Cash Flow'!Q3</f>
        <v>46569</v>
      </c>
      <c r="R18" s="37">
        <f>'Cash Flow'!R3</f>
        <v>46600</v>
      </c>
      <c r="S18" s="37">
        <f>'Cash Flow'!S3</f>
        <v>46631</v>
      </c>
      <c r="T18" s="37">
        <f>'Cash Flow'!T3</f>
        <v>46661</v>
      </c>
      <c r="U18" s="37">
        <f>'Cash Flow'!U3</f>
        <v>46692</v>
      </c>
      <c r="V18" s="37">
        <f>'Cash Flow'!V3</f>
        <v>46722</v>
      </c>
      <c r="W18" s="37">
        <f>'Cash Flow'!W3</f>
        <v>46753</v>
      </c>
      <c r="X18" s="37">
        <f>'Cash Flow'!X3</f>
        <v>46784</v>
      </c>
      <c r="Y18" s="37">
        <f>'Cash Flow'!Y3</f>
        <v>46813</v>
      </c>
    </row>
    <row r="19" spans="1:25" x14ac:dyDescent="0.2">
      <c r="A19" s="41" t="s">
        <v>190</v>
      </c>
      <c r="B19" s="19">
        <f>'Cash Flow'!B27</f>
        <v>106166666.63666666</v>
      </c>
      <c r="C19" s="19">
        <f>'Cash Flow'!C27</f>
        <v>75000000</v>
      </c>
      <c r="D19" s="19">
        <f>'Cash Flow'!D27</f>
        <v>75000000</v>
      </c>
      <c r="E19" s="19">
        <f>'Cash Flow'!E27</f>
        <v>75000000</v>
      </c>
      <c r="F19" s="19">
        <f>'Cash Flow'!F27</f>
        <v>75000000</v>
      </c>
      <c r="G19" s="19">
        <f>'Cash Flow'!G27</f>
        <v>75000000</v>
      </c>
      <c r="H19" s="19">
        <f>'Cash Flow'!H27</f>
        <v>75000000</v>
      </c>
      <c r="I19" s="19">
        <f>'Cash Flow'!I27</f>
        <v>75000000</v>
      </c>
      <c r="J19" s="19">
        <f>'Cash Flow'!J27</f>
        <v>75000000</v>
      </c>
      <c r="K19" s="19">
        <f>'Cash Flow'!K27</f>
        <v>75000000</v>
      </c>
      <c r="L19" s="19">
        <f>'Cash Flow'!L27</f>
        <v>75000000</v>
      </c>
      <c r="M19" s="19">
        <f>'Cash Flow'!M27</f>
        <v>75000000</v>
      </c>
      <c r="N19" s="19">
        <f>'Cash Flow'!N27</f>
        <v>75000000</v>
      </c>
      <c r="O19" s="19">
        <f>'Cash Flow'!O27</f>
        <v>75000000</v>
      </c>
      <c r="P19" s="19">
        <f>'Cash Flow'!P27</f>
        <v>75000000</v>
      </c>
      <c r="Q19" s="19">
        <f>'Cash Flow'!Q27</f>
        <v>75000000</v>
      </c>
      <c r="R19" s="19">
        <f>'Cash Flow'!R27</f>
        <v>75000000</v>
      </c>
      <c r="S19" s="19">
        <f>'Cash Flow'!S27</f>
        <v>75000000</v>
      </c>
      <c r="T19" s="19">
        <f>'Cash Flow'!T27</f>
        <v>75000000</v>
      </c>
      <c r="U19" s="19">
        <f>'Cash Flow'!U27</f>
        <v>75000000</v>
      </c>
      <c r="V19" s="19">
        <f>'Cash Flow'!V27</f>
        <v>75000000</v>
      </c>
      <c r="W19" s="19">
        <f>'Cash Flow'!W27</f>
        <v>75000000</v>
      </c>
      <c r="X19" s="19">
        <f>'Cash Flow'!X27</f>
        <v>75000000</v>
      </c>
      <c r="Y19" s="19">
        <f>'Cash Flow'!Y27</f>
        <v>75000000</v>
      </c>
    </row>
    <row r="20" spans="1:25" x14ac:dyDescent="0.2">
      <c r="A20" s="41" t="s">
        <v>211</v>
      </c>
      <c r="B20" s="19" t="str">
        <f>'Cash Flow'!B7</f>
        <v>Handover 20%</v>
      </c>
      <c r="C20" s="19">
        <f>'Cash Flow'!C7</f>
        <v>0</v>
      </c>
      <c r="D20" s="19">
        <f>'Cash Flow'!D7</f>
        <v>0</v>
      </c>
      <c r="E20" s="19">
        <f>'Cash Flow'!E7</f>
        <v>0</v>
      </c>
      <c r="F20" s="19">
        <f>'Cash Flow'!F7</f>
        <v>0</v>
      </c>
      <c r="G20" s="19">
        <f>'Cash Flow'!G7</f>
        <v>0</v>
      </c>
      <c r="H20" s="19">
        <f>'Cash Flow'!H7</f>
        <v>0</v>
      </c>
      <c r="I20" s="19">
        <f>'Cash Flow'!I7</f>
        <v>0</v>
      </c>
      <c r="J20" s="19">
        <f>'Cash Flow'!J7</f>
        <v>0</v>
      </c>
      <c r="K20" s="19">
        <f>'Cash Flow'!K7</f>
        <v>0</v>
      </c>
      <c r="L20" s="19">
        <f>'Cash Flow'!L7</f>
        <v>0</v>
      </c>
      <c r="M20" s="19">
        <f>'Cash Flow'!M7</f>
        <v>0</v>
      </c>
      <c r="N20" s="19">
        <f>'Cash Flow'!N7</f>
        <v>0</v>
      </c>
      <c r="O20" s="19">
        <f>'Cash Flow'!O7</f>
        <v>0</v>
      </c>
      <c r="P20" s="19">
        <f>'Cash Flow'!P7</f>
        <v>0</v>
      </c>
      <c r="Q20" s="19">
        <f>'Cash Flow'!Q7</f>
        <v>0</v>
      </c>
      <c r="R20" s="19">
        <f>'Cash Flow'!R7</f>
        <v>0</v>
      </c>
      <c r="S20" s="19">
        <f>'Cash Flow'!S7</f>
        <v>0</v>
      </c>
      <c r="T20" s="19">
        <f>'Cash Flow'!T7</f>
        <v>0</v>
      </c>
      <c r="U20" s="19">
        <f>'Cash Flow'!U7</f>
        <v>0</v>
      </c>
      <c r="V20" s="19">
        <f>'Cash Flow'!V7</f>
        <v>0</v>
      </c>
      <c r="W20" s="19">
        <f>'Cash Flow'!W7</f>
        <v>0</v>
      </c>
      <c r="X20" s="19">
        <f>'Cash Flow'!X7</f>
        <v>0</v>
      </c>
      <c r="Y20" s="19">
        <f>'Cash Flow'!Y7</f>
        <v>295100255.4217996</v>
      </c>
    </row>
    <row r="21" spans="1:25" x14ac:dyDescent="0.2">
      <c r="A21" s="41" t="s">
        <v>212</v>
      </c>
      <c r="B21" s="19">
        <f>'Cash Flow'!B13</f>
        <v>50000000</v>
      </c>
      <c r="C21" s="19">
        <f>'Cash Flow'!C13</f>
        <v>82625000</v>
      </c>
      <c r="D21" s="19">
        <f>'Cash Flow'!D13</f>
        <v>123307752.97619048</v>
      </c>
      <c r="E21" s="19">
        <f>'Cash Flow'!E13</f>
        <v>175996974.73958331</v>
      </c>
      <c r="F21" s="19">
        <f>'Cash Flow'!F13</f>
        <v>176436967.17643228</v>
      </c>
      <c r="G21" s="19">
        <f>'Cash Flow'!G13</f>
        <v>176878059.59437332</v>
      </c>
      <c r="H21" s="19">
        <f>'Cash Flow'!H13</f>
        <v>177320254.74335927</v>
      </c>
      <c r="I21" s="19">
        <f>'Cash Flow'!I13</f>
        <v>177763555.38021764</v>
      </c>
      <c r="J21" s="19">
        <f>'Cash Flow'!J13</f>
        <v>178207964.26866817</v>
      </c>
      <c r="K21" s="19">
        <f>'Cash Flow'!K13</f>
        <v>178653484.17933986</v>
      </c>
      <c r="L21" s="19">
        <f>'Cash Flow'!L13</f>
        <v>179100117.88978821</v>
      </c>
      <c r="M21" s="19">
        <f>'Cash Flow'!M13</f>
        <v>179547868.18451265</v>
      </c>
      <c r="N21" s="19">
        <f>'Cash Flow'!N13</f>
        <v>179996737.85497391</v>
      </c>
      <c r="O21" s="19">
        <f>'Cash Flow'!O13</f>
        <v>180446729.69961137</v>
      </c>
      <c r="P21" s="19">
        <f>'Cash Flow'!P13</f>
        <v>180897846.52386037</v>
      </c>
      <c r="Q21" s="19">
        <f>'Cash Flow'!Q13</f>
        <v>181350091.14017004</v>
      </c>
      <c r="R21" s="19">
        <f>'Cash Flow'!R13</f>
        <v>181803466.36802042</v>
      </c>
      <c r="S21" s="19">
        <f>'Cash Flow'!S13</f>
        <v>182257975.03394046</v>
      </c>
      <c r="T21" s="19">
        <f>'Cash Flow'!T13</f>
        <v>130415163.95289934</v>
      </c>
      <c r="U21" s="19">
        <f>'Cash Flow'!U13</f>
        <v>130741201.86278158</v>
      </c>
      <c r="V21" s="19">
        <f>'Cash Flow'!V13</f>
        <v>131068054.86743852</v>
      </c>
      <c r="W21" s="19">
        <f>'Cash Flow'!W13</f>
        <v>97231546.147962123</v>
      </c>
      <c r="X21" s="19">
        <f>'Cash Flow'!X13</f>
        <v>97474625.013332039</v>
      </c>
      <c r="Y21" s="19">
        <f>'Cash Flow'!Y13</f>
        <v>55063145.409977287</v>
      </c>
    </row>
    <row r="56" spans="2:25" hidden="1" x14ac:dyDescent="0.2">
      <c r="B56" s="43">
        <f>'Sales Forecast'!C3</f>
        <v>46113</v>
      </c>
      <c r="C56" s="43">
        <f>'Sales Forecast'!D3</f>
        <v>46143</v>
      </c>
      <c r="D56" s="43">
        <f>'Sales Forecast'!E3</f>
        <v>46174</v>
      </c>
      <c r="E56" s="43">
        <f>'Sales Forecast'!F3</f>
        <v>46204</v>
      </c>
      <c r="F56" s="43">
        <f>'Sales Forecast'!G3</f>
        <v>46235</v>
      </c>
      <c r="G56" s="43">
        <f>'Sales Forecast'!H3</f>
        <v>46266</v>
      </c>
      <c r="H56" s="43">
        <f>'Sales Forecast'!I3</f>
        <v>46296</v>
      </c>
      <c r="I56" s="43">
        <f>'Sales Forecast'!J3</f>
        <v>46327</v>
      </c>
      <c r="J56" s="43">
        <f>'Sales Forecast'!K3</f>
        <v>46357</v>
      </c>
      <c r="K56" s="43">
        <f>'Sales Forecast'!L3</f>
        <v>46388</v>
      </c>
      <c r="L56" s="43">
        <f>'Sales Forecast'!M3</f>
        <v>46419</v>
      </c>
      <c r="M56" s="43">
        <f>'Sales Forecast'!N3</f>
        <v>46447</v>
      </c>
      <c r="N56" s="43">
        <f>'Sales Forecast'!O3</f>
        <v>46478</v>
      </c>
      <c r="O56" s="43">
        <f>'Sales Forecast'!P3</f>
        <v>46508</v>
      </c>
      <c r="P56" s="43">
        <f>'Sales Forecast'!Q3</f>
        <v>46539</v>
      </c>
      <c r="Q56" s="43">
        <f>'Sales Forecast'!R3</f>
        <v>46569</v>
      </c>
      <c r="R56" s="43">
        <f>'Sales Forecast'!S3</f>
        <v>46600</v>
      </c>
      <c r="S56" s="43">
        <f>'Sales Forecast'!T3</f>
        <v>46631</v>
      </c>
      <c r="T56" s="43">
        <f>'Sales Forecast'!U3</f>
        <v>46661</v>
      </c>
      <c r="U56" s="43">
        <f>'Sales Forecast'!V3</f>
        <v>46692</v>
      </c>
      <c r="V56" s="43">
        <f>'Sales Forecast'!W3</f>
        <v>46722</v>
      </c>
      <c r="W56" s="43">
        <f>'Sales Forecast'!X3</f>
        <v>46753</v>
      </c>
      <c r="X56" s="43">
        <f>'Sales Forecast'!Y3</f>
        <v>46784</v>
      </c>
      <c r="Y56" s="43">
        <f>'Sales Forecast'!Z3</f>
        <v>46813</v>
      </c>
    </row>
    <row r="57" spans="2:25" hidden="1" x14ac:dyDescent="0.2">
      <c r="B57" s="19">
        <f>'Sales Forecast'!C30</f>
        <v>156800000</v>
      </c>
      <c r="C57" s="19">
        <f>'Sales Forecast'!D30</f>
        <v>260621200</v>
      </c>
      <c r="D57" s="19">
        <f>'Sales Forecast'!E30</f>
        <v>331224084.80000001</v>
      </c>
      <c r="E57" s="19">
        <f>'Sales Forecast'!F30</f>
        <v>451912981.13920003</v>
      </c>
      <c r="F57" s="19">
        <f>'Sales Forecast'!G30</f>
        <v>453720633.06375682</v>
      </c>
      <c r="G57" s="19">
        <f>'Sales Forecast'!H30</f>
        <v>455535515.59601188</v>
      </c>
      <c r="H57" s="19">
        <f>'Sales Forecast'!I30</f>
        <v>457357657.65839589</v>
      </c>
      <c r="I57" s="19">
        <f>'Sales Forecast'!J30</f>
        <v>459187088.28902948</v>
      </c>
      <c r="J57" s="19">
        <f>'Sales Forecast'!K30</f>
        <v>461023836.64218563</v>
      </c>
      <c r="K57" s="19">
        <f>'Sales Forecast'!L30</f>
        <v>462867931.98875439</v>
      </c>
      <c r="L57" s="19">
        <f>'Sales Forecast'!M30</f>
        <v>464719403.71670943</v>
      </c>
      <c r="M57" s="19">
        <f>'Sales Forecast'!N30</f>
        <v>466578281.33157623</v>
      </c>
      <c r="N57" s="19">
        <f>'Sales Forecast'!O30</f>
        <v>468444594.45690256</v>
      </c>
      <c r="O57" s="19">
        <f>'Sales Forecast'!P30</f>
        <v>470318372.83473021</v>
      </c>
      <c r="P57" s="19">
        <f>'Sales Forecast'!Q30</f>
        <v>472199646.32606912</v>
      </c>
      <c r="Q57" s="19">
        <f>'Sales Forecast'!R30</f>
        <v>474088444.91137344</v>
      </c>
      <c r="R57" s="19">
        <f>'Sales Forecast'!S30</f>
        <v>475984798.69101894</v>
      </c>
      <c r="S57" s="19">
        <f>'Sales Forecast'!T30</f>
        <v>477888737.88578308</v>
      </c>
      <c r="T57" s="19">
        <f>'Sales Forecast'!U30</f>
        <v>311318533.49556762</v>
      </c>
      <c r="U57" s="19">
        <f>'Sales Forecast'!V30</f>
        <v>312563807.62954992</v>
      </c>
      <c r="V57" s="19">
        <f>'Sales Forecast'!W30</f>
        <v>313814062.86006808</v>
      </c>
      <c r="W57" s="19">
        <f>'Sales Forecast'!X30</f>
        <v>203298430.66885328</v>
      </c>
      <c r="X57" s="19">
        <f>'Sales Forecast'!Y30</f>
        <v>158906509.51027703</v>
      </c>
      <c r="Y57" s="19">
        <f>'Sales Forecast'!Z30</f>
        <v>129284845.32113379</v>
      </c>
    </row>
  </sheetData>
  <mergeCells count="17">
    <mergeCell ref="A10:C10"/>
    <mergeCell ref="E10:G10"/>
    <mergeCell ref="A12:C12"/>
    <mergeCell ref="E12:G12"/>
    <mergeCell ref="A13:C13"/>
    <mergeCell ref="E13:G13"/>
    <mergeCell ref="A6:C6"/>
    <mergeCell ref="E6:G6"/>
    <mergeCell ref="A7:C7"/>
    <mergeCell ref="E7:G7"/>
    <mergeCell ref="A9:C9"/>
    <mergeCell ref="E9:G9"/>
    <mergeCell ref="A1:T1"/>
    <mergeCell ref="A3:C3"/>
    <mergeCell ref="E3:G3"/>
    <mergeCell ref="A4:C4"/>
    <mergeCell ref="E4:G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Instructions</vt:lpstr>
      <vt:lpstr>Scenario Toggle</vt:lpstr>
      <vt:lpstr>Assumptions</vt:lpstr>
      <vt:lpstr>Project Database</vt:lpstr>
      <vt:lpstr>Sales Forecast</vt:lpstr>
      <vt:lpstr>Collections</vt:lpstr>
      <vt:lpstr>Construction Costs</vt:lpstr>
      <vt:lpstr>Escrow</vt:lpstr>
      <vt:lpstr>Corporate Opex</vt:lpstr>
      <vt:lpstr>Debt Model</vt:lpstr>
      <vt:lpstr>CapEx</vt:lpstr>
      <vt:lpstr>Cash Flow</vt:lpstr>
      <vt:lpstr>Liquidity</vt:lpstr>
      <vt:lpstr>Sensitivity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ARSHIA VIJH - 45202220132</cp:lastModifiedBy>
  <dcterms:modified xsi:type="dcterms:W3CDTF">2026-03-08T04:05:56Z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2026-03-08T03:53:22Z</dcterms:created>
  <dc:creator>openpyxl</dc:creator>
  <dc:description/>
  <dc:language>en-US</dc:language>
  <cp:lastModifiedBy/>
  <dcterms:modified xsi:type="dcterms:W3CDTF">2026-03-08T03:53:23Z</dcterms:modified>
  <cp:revision>0</cp:revision>
  <dc:subject/>
  <dc:title/>
</cp:coreProperties>
</file>