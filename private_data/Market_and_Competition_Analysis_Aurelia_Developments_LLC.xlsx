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 Model" sheetId="1" state="visible" r:id="rId1"/>
    <sheet xmlns:r="http://schemas.openxmlformats.org/officeDocument/2006/relationships" name="Segmentation" sheetId="2" state="visible" r:id="rId2"/>
    <sheet xmlns:r="http://schemas.openxmlformats.org/officeDocument/2006/relationships" name="Competitor Comparison" sheetId="3" state="visible" r:id="rId3"/>
    <sheet xmlns:r="http://schemas.openxmlformats.org/officeDocument/2006/relationships" name="Marketing &amp; Sales Metrics" sheetId="4" state="visible" r:id="rId4"/>
    <sheet xmlns:r="http://schemas.openxmlformats.org/officeDocument/2006/relationships" name="SWOT Matrix" sheetId="5" state="visible" r:id="rId5"/>
    <sheet xmlns:r="http://schemas.openxmlformats.org/officeDocument/2006/relationships" name="Research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Relevant Segment Sizes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'Segmentation'!B4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'Segmentation'!$A$5:$A$9</f>
            </numRef>
          </cat>
          <val>
            <numRef>
              <f>'Segmentation'!$B$5:$B$9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55" customWidth="1" min="3" max="3"/>
  </cols>
  <sheetData>
    <row r="1">
      <c r="A1" s="1" t="inlineStr">
        <is>
          <t>TAM Calculations</t>
        </is>
      </c>
    </row>
    <row r="2">
      <c r="A2" s="2" t="inlineStr">
        <is>
          <t>Structured calculations supporting the commercial diligence report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Comment</t>
        </is>
      </c>
    </row>
    <row r="5">
      <c r="A5" s="4" t="inlineStr">
        <is>
          <t>UAE real estate market 2024 (USD)</t>
        </is>
      </c>
      <c r="B5" s="5" t="n">
        <v>130600000000</v>
      </c>
      <c r="C5" s="4" t="inlineStr">
        <is>
          <t>Public benchmark market size</t>
        </is>
      </c>
    </row>
    <row r="6">
      <c r="A6" s="4" t="inlineStr">
        <is>
          <t>Assumed Dubai relevance factor</t>
        </is>
      </c>
      <c r="B6" s="6" t="n">
        <v>0.575</v>
      </c>
      <c r="C6" s="4" t="inlineStr">
        <is>
          <t>Midpoint assumption applied to narrow UAE benchmark toward Dubai-centric activity</t>
        </is>
      </c>
    </row>
    <row r="7">
      <c r="A7" s="4" t="inlineStr">
        <is>
          <t>Implied Dubai market reference</t>
        </is>
      </c>
      <c r="B7" s="5">
        <f>B5*B6</f>
        <v/>
      </c>
      <c r="C7" s="4" t="inlineStr">
        <is>
          <t>Intermediate calculation</t>
        </is>
      </c>
    </row>
    <row r="8">
      <c r="A8" s="4" t="inlineStr">
        <is>
          <t>Assumed premium / luxury relevant share</t>
        </is>
      </c>
      <c r="B8" s="6" t="n">
        <v>0.22</v>
      </c>
      <c r="C8" s="4" t="inlineStr">
        <is>
          <t>Planning assumption for Aurelia-relevant segment</t>
        </is>
      </c>
    </row>
    <row r="9">
      <c r="A9" s="4" t="inlineStr">
        <is>
          <t>Aurelia-relevant TAM</t>
        </is>
      </c>
      <c r="B9" s="5">
        <f>B7*B8</f>
        <v/>
      </c>
      <c r="C9" s="4" t="inlineStr">
        <is>
          <t>Estimated TAM for luxury towers, villas, branded and mixed-use</t>
        </is>
      </c>
    </row>
    <row r="10">
      <c r="A10" s="4" t="inlineStr">
        <is>
          <t>Aurelia current pipeline GDV</t>
        </is>
      </c>
      <c r="B10" s="5" t="n">
        <v>2350000000</v>
      </c>
      <c r="C10" s="4" t="inlineStr">
        <is>
          <t>Illustrative current pipeline gross development value</t>
        </is>
      </c>
    </row>
    <row r="11">
      <c r="A11" s="4" t="inlineStr">
        <is>
          <t>Implied pipeline share of TAM</t>
        </is>
      </c>
      <c r="B11" s="6">
        <f>B10/B9</f>
        <v/>
      </c>
      <c r="C11" s="4" t="inlineStr">
        <is>
          <t>Indicative relative 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1" customWidth="1" min="2" max="2"/>
    <col width="17" customWidth="1" min="3" max="3"/>
    <col width="22" customWidth="1" min="4" max="4"/>
  </cols>
  <sheetData>
    <row r="1">
      <c r="A1" s="1" t="inlineStr">
        <is>
          <t>Market Segmentation</t>
        </is>
      </c>
    </row>
    <row r="2">
      <c r="A2" s="2" t="inlineStr">
        <is>
          <t>Structured calculations supporting the commercial diligence report</t>
        </is>
      </c>
    </row>
    <row r="3"/>
    <row r="4">
      <c r="A4" s="3" t="inlineStr">
        <is>
          <t>Segment</t>
        </is>
      </c>
      <c r="B4" s="3" t="inlineStr">
        <is>
          <t>Estimated Segment Size (USD)</t>
        </is>
      </c>
      <c r="C4" s="3" t="inlineStr">
        <is>
          <t>Growth Outlook</t>
        </is>
      </c>
      <c r="D4" s="3" t="inlineStr">
        <is>
          <t>Aurelia Relevance</t>
        </is>
      </c>
    </row>
    <row r="5">
      <c r="A5" s="4" t="inlineStr">
        <is>
          <t>Luxury towers / apartments</t>
        </is>
      </c>
      <c r="B5" s="5" t="n">
        <v>7000000000</v>
      </c>
      <c r="C5" s="4" t="inlineStr">
        <is>
          <t>High</t>
        </is>
      </c>
      <c r="D5" s="4" t="inlineStr">
        <is>
          <t>Primary</t>
        </is>
      </c>
    </row>
    <row r="6">
      <c r="A6" s="4" t="inlineStr">
        <is>
          <t>Premium villa communities</t>
        </is>
      </c>
      <c r="B6" s="5" t="n">
        <v>4500000000</v>
      </c>
      <c r="C6" s="4" t="inlineStr">
        <is>
          <t>High</t>
        </is>
      </c>
      <c r="D6" s="4" t="inlineStr">
        <is>
          <t>Primary</t>
        </is>
      </c>
    </row>
    <row r="7">
      <c r="A7" s="4" t="inlineStr">
        <is>
          <t>Branded residences</t>
        </is>
      </c>
      <c r="B7" s="5" t="n">
        <v>2500000000</v>
      </c>
      <c r="C7" s="4" t="inlineStr">
        <is>
          <t>High</t>
        </is>
      </c>
      <c r="D7" s="4" t="inlineStr">
        <is>
          <t>Primary</t>
        </is>
      </c>
    </row>
    <row r="8">
      <c r="A8" s="4" t="inlineStr">
        <is>
          <t>Mixed-use lifestyle developments</t>
        </is>
      </c>
      <c r="B8" s="5" t="n">
        <v>3000000000</v>
      </c>
      <c r="C8" s="4" t="inlineStr">
        <is>
          <t>Medium to High</t>
        </is>
      </c>
      <c r="D8" s="4" t="inlineStr">
        <is>
          <t>Primary / selective</t>
        </is>
      </c>
    </row>
    <row r="9">
      <c r="A9" s="4" t="inlineStr">
        <is>
          <t>Premium rental / recurring-income product</t>
        </is>
      </c>
      <c r="B9" s="5" t="n">
        <v>1800000000</v>
      </c>
      <c r="C9" s="4" t="inlineStr">
        <is>
          <t>Medium</t>
        </is>
      </c>
      <c r="D9" s="4" t="inlineStr">
        <is>
          <t>Secondary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Competitor Comparison</t>
        </is>
      </c>
    </row>
    <row r="2">
      <c r="A2" s="2" t="inlineStr">
        <is>
          <t>Structured calculations supporting the commercial diligence report</t>
        </is>
      </c>
    </row>
    <row r="3"/>
    <row r="4">
      <c r="A4" s="3" t="inlineStr">
        <is>
          <t>Competitor</t>
        </is>
      </c>
      <c r="B4" s="3" t="inlineStr">
        <is>
          <t>Scale Position</t>
        </is>
      </c>
      <c r="C4" s="3" t="inlineStr">
        <is>
          <t>Luxury / Brand Strength</t>
        </is>
      </c>
      <c r="D4" s="3" t="inlineStr">
        <is>
          <t>Mixed-Use Capability</t>
        </is>
      </c>
      <c r="E4" s="3" t="inlineStr">
        <is>
          <t>Position vs Aurelia</t>
        </is>
      </c>
    </row>
    <row r="5">
      <c r="A5" s="4" t="inlineStr">
        <is>
          <t>Emaar Properties</t>
        </is>
      </c>
      <c r="B5" s="4" t="inlineStr">
        <is>
          <t>Very Large</t>
        </is>
      </c>
      <c r="C5" s="4" t="inlineStr">
        <is>
          <t>Strong</t>
        </is>
      </c>
      <c r="D5" s="4" t="inlineStr">
        <is>
          <t>Very Strong</t>
        </is>
      </c>
      <c r="E5" s="4" t="inlineStr">
        <is>
          <t>Aurelia is smaller but can be more niche and focused</t>
        </is>
      </c>
    </row>
    <row r="6">
      <c r="A6" s="4" t="inlineStr">
        <is>
          <t>DAMAC Properties</t>
        </is>
      </c>
      <c r="B6" s="4" t="inlineStr">
        <is>
          <t>Large</t>
        </is>
      </c>
      <c r="C6" s="4" t="inlineStr">
        <is>
          <t>Strong</t>
        </is>
      </c>
      <c r="D6" s="4" t="inlineStr">
        <is>
          <t>Moderate</t>
        </is>
      </c>
      <c r="E6" s="4" t="inlineStr">
        <is>
          <t>Closest premium/luxury positioning comparator</t>
        </is>
      </c>
    </row>
    <row r="7">
      <c r="A7" s="4" t="inlineStr">
        <is>
          <t>Nakheel</t>
        </is>
      </c>
      <c r="B7" s="4" t="inlineStr">
        <is>
          <t>Large</t>
        </is>
      </c>
      <c r="C7" s="4" t="inlineStr">
        <is>
          <t>Moderate</t>
        </is>
      </c>
      <c r="D7" s="4" t="inlineStr">
        <is>
          <t>Strong</t>
        </is>
      </c>
      <c r="E7" s="4" t="inlineStr">
        <is>
          <t>Competes in destination and waterfront contexts</t>
        </is>
      </c>
    </row>
    <row r="8">
      <c r="A8" s="4" t="inlineStr">
        <is>
          <t>Sobha Realty</t>
        </is>
      </c>
      <c r="B8" s="4" t="inlineStr">
        <is>
          <t>Medium-Large</t>
        </is>
      </c>
      <c r="C8" s="4" t="inlineStr">
        <is>
          <t>Strong</t>
        </is>
      </c>
      <c r="D8" s="4" t="inlineStr">
        <is>
          <t>Moderate</t>
        </is>
      </c>
      <c r="E8" s="4" t="inlineStr">
        <is>
          <t>Quality and design-led comparator</t>
        </is>
      </c>
    </row>
    <row r="9">
      <c r="A9" s="4" t="inlineStr">
        <is>
          <t>Meraas / Dubai Holding</t>
        </is>
      </c>
      <c r="B9" s="4" t="inlineStr">
        <is>
          <t>Large</t>
        </is>
      </c>
      <c r="C9" s="4" t="inlineStr">
        <is>
          <t>Strong</t>
        </is>
      </c>
      <c r="D9" s="4" t="inlineStr">
        <is>
          <t>Very Strong</t>
        </is>
      </c>
      <c r="E9" s="4" t="inlineStr">
        <is>
          <t>Lifestyle and mixed-use benchmark</t>
        </is>
      </c>
    </row>
    <row r="10">
      <c r="A10" s="4" t="inlineStr">
        <is>
          <t>Dubai Properties</t>
        </is>
      </c>
      <c r="B10" s="4" t="inlineStr">
        <is>
          <t>Large</t>
        </is>
      </c>
      <c r="C10" s="4" t="inlineStr">
        <is>
          <t>Moderate</t>
        </is>
      </c>
      <c r="D10" s="4" t="inlineStr">
        <is>
          <t>Strong</t>
        </is>
      </c>
      <c r="E10" s="4" t="inlineStr">
        <is>
          <t>Broader market competitor with selective overlap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38" customWidth="1" min="4" max="4"/>
  </cols>
  <sheetData>
    <row r="1">
      <c r="A1" s="1" t="inlineStr">
        <is>
          <t>Marketing and Sales Metrics</t>
        </is>
      </c>
    </row>
    <row r="2">
      <c r="A2" s="2" t="inlineStr">
        <is>
          <t>Structured calculations supporting the commercial diligence report</t>
        </is>
      </c>
    </row>
    <row r="3"/>
    <row r="4">
      <c r="A4" s="3" t="inlineStr">
        <is>
          <t>Metric</t>
        </is>
      </c>
      <c r="B4" s="3" t="inlineStr">
        <is>
          <t>Current / Benchmark Value</t>
        </is>
      </c>
      <c r="C4" s="3" t="inlineStr">
        <is>
          <t>Projected / Target Value</t>
        </is>
      </c>
      <c r="D4" s="3" t="inlineStr">
        <is>
          <t>Note</t>
        </is>
      </c>
    </row>
    <row r="5">
      <c r="A5" s="4" t="inlineStr">
        <is>
          <t>Average unit selling price</t>
        </is>
      </c>
      <c r="B5" s="4" t="inlineStr">
        <is>
          <t>$1.35m</t>
        </is>
      </c>
      <c r="C5" s="4" t="inlineStr">
        <is>
          <t>$1.42m</t>
        </is>
      </c>
      <c r="D5" s="4" t="inlineStr">
        <is>
          <t>Illustrative premium product benchmark</t>
        </is>
      </c>
    </row>
    <row r="6">
      <c r="A6" s="4" t="inlineStr">
        <is>
          <t>Marketing spend per unit sold</t>
        </is>
      </c>
      <c r="B6" s="4" t="inlineStr">
        <is>
          <t>$28k</t>
        </is>
      </c>
      <c r="C6" s="4" t="inlineStr">
        <is>
          <t>$24k</t>
        </is>
      </c>
      <c r="D6" s="4" t="inlineStr">
        <is>
          <t>Target efficiency improvement with stronger lead analytics</t>
        </is>
      </c>
    </row>
    <row r="7">
      <c r="A7" s="4" t="inlineStr">
        <is>
          <t>Broker / channel share of sales</t>
        </is>
      </c>
      <c r="B7" s="4" t="inlineStr">
        <is>
          <t>55%</t>
        </is>
      </c>
      <c r="C7" s="4" t="inlineStr">
        <is>
          <t>50%</t>
        </is>
      </c>
      <c r="D7" s="4" t="inlineStr">
        <is>
          <t>Assumes stronger direct channel and digital conversion</t>
        </is>
      </c>
    </row>
    <row r="8">
      <c r="A8" s="4" t="inlineStr">
        <is>
          <t>Reservation-to-contract conversion</t>
        </is>
      </c>
      <c r="B8" s="4" t="inlineStr">
        <is>
          <t>62%</t>
        </is>
      </c>
      <c r="C8" s="4" t="inlineStr">
        <is>
          <t>70%</t>
        </is>
      </c>
      <c r="D8" s="4" t="inlineStr">
        <is>
          <t>Improved sales process discipline target</t>
        </is>
      </c>
    </row>
    <row r="9">
      <c r="A9" s="4" t="inlineStr">
        <is>
          <t>Repeat / referral investor contribution</t>
        </is>
      </c>
      <c r="B9" s="4" t="inlineStr">
        <is>
          <t>18%</t>
        </is>
      </c>
      <c r="C9" s="4" t="inlineStr">
        <is>
          <t>24%</t>
        </is>
      </c>
      <c r="D9" s="4" t="inlineStr">
        <is>
          <t>Target based on stronger investor relationship management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SWOT Analysis</t>
        </is>
      </c>
    </row>
    <row r="2">
      <c r="A2" s="2" t="inlineStr">
        <is>
          <t>Structured calculations supporting the commercial diligence report</t>
        </is>
      </c>
    </row>
    <row r="3"/>
    <row r="4">
      <c r="A4" s="3" t="inlineStr">
        <is>
          <t>Category</t>
        </is>
      </c>
      <c r="B4" s="3" t="inlineStr">
        <is>
          <t>Detail</t>
        </is>
      </c>
    </row>
    <row r="5">
      <c r="A5" s="4" t="inlineStr">
        <is>
          <t>Strength</t>
        </is>
      </c>
      <c r="B5" s="4" t="inlineStr">
        <is>
          <t>Focused premium pipeline; differentiated branding potential; proptech-enabled planning and sales tools</t>
        </is>
      </c>
    </row>
    <row r="6">
      <c r="A6" s="4" t="inlineStr">
        <is>
          <t>Weakness</t>
        </is>
      </c>
      <c r="B6" s="4" t="inlineStr">
        <is>
          <t>Smaller scale than leading incumbents; lower financing depth; execution concentration risk</t>
        </is>
      </c>
    </row>
    <row r="7">
      <c r="A7" s="4" t="inlineStr">
        <is>
          <t>Opportunity</t>
        </is>
      </c>
      <c r="B7" s="4" t="inlineStr">
        <is>
          <t>International investor demand; branded residence growth; selective GCC expansion; margin enhancement through better analytics</t>
        </is>
      </c>
    </row>
    <row r="8">
      <c r="A8" s="4" t="inlineStr">
        <is>
          <t>Threat</t>
        </is>
      </c>
      <c r="B8" s="4" t="inlineStr">
        <is>
          <t>Oversupply risk in certain luxury submarkets; construction inflation; geopolitical volatility affecting foreign capital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30" customWidth="1" min="3" max="3"/>
  </cols>
  <sheetData>
    <row r="1">
      <c r="A1" s="1" t="inlineStr">
        <is>
          <t>Research Sources</t>
        </is>
      </c>
    </row>
    <row r="2">
      <c r="A2" s="2" t="inlineStr">
        <is>
          <t>Structured calculations supporting the commercial diligence report</t>
        </is>
      </c>
    </row>
    <row r="3"/>
    <row r="4">
      <c r="A4" s="3" t="inlineStr">
        <is>
          <t>Source Category</t>
        </is>
      </c>
      <c r="B4" s="3" t="inlineStr">
        <is>
          <t>Source / Publication</t>
        </is>
      </c>
      <c r="C4" s="3" t="inlineStr">
        <is>
          <t>Usage</t>
        </is>
      </c>
    </row>
    <row r="5">
      <c r="A5" s="4" t="inlineStr">
        <is>
          <t>Market source</t>
        </is>
      </c>
      <c r="B5" s="4" t="inlineStr">
        <is>
          <t>Dubai Land Department (market transaction summaries, 2024–2025)</t>
        </is>
      </c>
      <c r="C5" s="4" t="inlineStr">
        <is>
          <t>Used for market sizing, growth framing, or qualitative competitive insights</t>
        </is>
      </c>
    </row>
    <row r="6">
      <c r="A6" s="4" t="inlineStr">
        <is>
          <t>Market source</t>
        </is>
      </c>
      <c r="B6" s="4" t="inlineStr">
        <is>
          <t>CBRE Dubai Residential Market Snapshot / UAE Market Review (2024–2025)</t>
        </is>
      </c>
      <c r="C6" s="4" t="inlineStr">
        <is>
          <t>Used for market sizing, growth framing, or qualitative competitive insights</t>
        </is>
      </c>
    </row>
    <row r="7">
      <c r="A7" s="4" t="inlineStr">
        <is>
          <t>Market source</t>
        </is>
      </c>
      <c r="B7" s="4" t="inlineStr">
        <is>
          <t>Knight Frank Destination Dubai / Wealth Report / Dubai Residential Intelligence (2024–2025)</t>
        </is>
      </c>
      <c r="C7" s="4" t="inlineStr">
        <is>
          <t>Used for market sizing, growth framing, or qualitative competitive insights</t>
        </is>
      </c>
    </row>
    <row r="8">
      <c r="A8" s="4" t="inlineStr">
        <is>
          <t>Market source</t>
        </is>
      </c>
      <c r="B8" s="4" t="inlineStr">
        <is>
          <t>JLL UAE Real Estate Market Overview (2024–2025)</t>
        </is>
      </c>
      <c r="C8" s="4" t="inlineStr">
        <is>
          <t>Used for market sizing, growth framing, or qualitative competitive insights</t>
        </is>
      </c>
    </row>
    <row r="9">
      <c r="A9" s="4" t="inlineStr">
        <is>
          <t>Market source</t>
        </is>
      </c>
      <c r="B9" s="4" t="inlineStr">
        <is>
          <t>Henley &amp; Partners / New World Wealth migration data (2024–2025)</t>
        </is>
      </c>
      <c r="C9" s="4" t="inlineStr">
        <is>
          <t>Used for market sizing, growth framing, or qualitative competitive insights</t>
        </is>
      </c>
    </row>
    <row r="10">
      <c r="A10" s="4" t="inlineStr">
        <is>
          <t>Market source</t>
        </is>
      </c>
      <c r="B10" s="4" t="inlineStr">
        <is>
          <t>Grand View Research / UAE Real Estate Market outlook (2024–2030)</t>
        </is>
      </c>
      <c r="C10" s="4" t="inlineStr">
        <is>
          <t>Used for market sizing, growth framing, or qualitative competitive insights</t>
        </is>
      </c>
    </row>
    <row r="11">
      <c r="A11" s="4" t="inlineStr">
        <is>
          <t>Market source</t>
        </is>
      </c>
      <c r="B11" s="4" t="inlineStr">
        <is>
          <t>Public annual reports and corporate disclosures of Emaar, DAMAC, Aldar, Sobha and other listed developers</t>
        </is>
      </c>
      <c r="C11" s="4" t="inlineStr">
        <is>
          <t>Used for market sizing, growth framing, or qualitative competitive insights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2026-03-08T16:25:02Z</dcterms:created>
  <dcterms:modified xmlns:dcterms="http://purl.org/dc/terms/" xmlns:xsi="http://www.w3.org/2001/XMLSchema-instance" xsi:type="dcterms:W3CDTF">2026-03-08T16:25:02Z</dcterms:modified>
</cp:coreProperties>
</file>