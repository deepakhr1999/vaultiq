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comments10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rshiavijh/Downloads/"/>
    </mc:Choice>
  </mc:AlternateContent>
  <xr:revisionPtr revIDLastSave="0" documentId="13_ncr:1_{2AC4DA9E-5708-BF48-923E-B6FBCD017A10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1. Income Statement" sheetId="1" r:id="rId1"/>
    <sheet name="2. Balance Sheet" sheetId="2" r:id="rId2"/>
    <sheet name="3. Cash Flow" sheetId="3" r:id="rId3"/>
    <sheet name="4. Revenue Breakdown" sheetId="4" r:id="rId4"/>
    <sheet name="5. OpEx Breakdown" sheetId="5" r:id="rId5"/>
    <sheet name="6. Project Performance" sheetId="6" r:id="rId6"/>
    <sheet name="7. Working Capital" sheetId="7" r:id="rId7"/>
    <sheet name="8. Debt Summary" sheetId="8" r:id="rId8"/>
    <sheet name="9. CapEx" sheetId="9" r:id="rId9"/>
    <sheet name="10. Key Ratios" sheetId="10" r:id="rId10"/>
    <sheet name="11. Variance Analysis" sheetId="11" r:id="rId11"/>
    <sheet name="12. Dashboard" sheetId="12" r:id="rId1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2" l="1"/>
  <c r="G9" i="12"/>
  <c r="H7" i="12"/>
  <c r="C13" i="11"/>
  <c r="B13" i="11"/>
  <c r="C12" i="11"/>
  <c r="B12" i="11"/>
  <c r="E12" i="9"/>
  <c r="D12" i="9"/>
  <c r="C12" i="9"/>
  <c r="F11" i="9"/>
  <c r="F10" i="9"/>
  <c r="F9" i="9"/>
  <c r="F8" i="9"/>
  <c r="F7" i="9"/>
  <c r="F6" i="9"/>
  <c r="C13" i="8"/>
  <c r="F11" i="8"/>
  <c r="E11" i="8"/>
  <c r="B34" i="2" s="1"/>
  <c r="D11" i="8"/>
  <c r="G7" i="12" s="1"/>
  <c r="C18" i="7"/>
  <c r="D18" i="7" s="1"/>
  <c r="B18" i="7"/>
  <c r="C17" i="7"/>
  <c r="B17" i="7"/>
  <c r="D17" i="7" s="1"/>
  <c r="C16" i="7"/>
  <c r="B16" i="7"/>
  <c r="D16" i="7" s="1"/>
  <c r="C15" i="7"/>
  <c r="B15" i="7"/>
  <c r="D15" i="7" s="1"/>
  <c r="C14" i="7"/>
  <c r="B14" i="7"/>
  <c r="C10" i="7"/>
  <c r="D10" i="7" s="1"/>
  <c r="B10" i="7"/>
  <c r="C9" i="7"/>
  <c r="B9" i="7"/>
  <c r="C8" i="7"/>
  <c r="B8" i="7"/>
  <c r="C7" i="7"/>
  <c r="B7" i="7"/>
  <c r="D7" i="7" s="1"/>
  <c r="C6" i="7"/>
  <c r="B6" i="7"/>
  <c r="G11" i="6"/>
  <c r="F11" i="6"/>
  <c r="C11" i="6"/>
  <c r="B11" i="6"/>
  <c r="D10" i="6"/>
  <c r="E10" i="6" s="1"/>
  <c r="D9" i="6"/>
  <c r="E9" i="6" s="1"/>
  <c r="D8" i="6"/>
  <c r="E8" i="6" s="1"/>
  <c r="E7" i="6"/>
  <c r="D7" i="6"/>
  <c r="D6" i="6"/>
  <c r="D31" i="5"/>
  <c r="C31" i="5"/>
  <c r="B31" i="5"/>
  <c r="B27" i="1" s="1"/>
  <c r="B7" i="3" s="1"/>
  <c r="D27" i="5"/>
  <c r="D23" i="1" s="1"/>
  <c r="C27" i="5"/>
  <c r="C23" i="1" s="1"/>
  <c r="C9" i="11" s="1"/>
  <c r="B27" i="5"/>
  <c r="D18" i="5"/>
  <c r="C18" i="5"/>
  <c r="B18" i="5"/>
  <c r="D11" i="5"/>
  <c r="D17" i="1" s="1"/>
  <c r="C11" i="5"/>
  <c r="C17" i="1" s="1"/>
  <c r="C6" i="11" s="1"/>
  <c r="B11" i="5"/>
  <c r="B17" i="1" s="1"/>
  <c r="B6" i="11" s="1"/>
  <c r="D6" i="11" s="1"/>
  <c r="E6" i="11" s="1"/>
  <c r="B23" i="4"/>
  <c r="D21" i="4"/>
  <c r="C21" i="4"/>
  <c r="C8" i="1" s="1"/>
  <c r="B21" i="4"/>
  <c r="G21" i="12" s="1"/>
  <c r="D14" i="4"/>
  <c r="C14" i="4"/>
  <c r="C7" i="1" s="1"/>
  <c r="B14" i="4"/>
  <c r="G20" i="12" s="1"/>
  <c r="D9" i="4"/>
  <c r="D6" i="1" s="1"/>
  <c r="C9" i="4"/>
  <c r="C6" i="1" s="1"/>
  <c r="B9" i="4"/>
  <c r="G19" i="12" s="1"/>
  <c r="B38" i="3"/>
  <c r="C36" i="3"/>
  <c r="B36" i="3"/>
  <c r="C28" i="3"/>
  <c r="B25" i="3"/>
  <c r="B28" i="3" s="1"/>
  <c r="B18" i="3"/>
  <c r="B17" i="3"/>
  <c r="B16" i="3"/>
  <c r="B15" i="3"/>
  <c r="B14" i="3"/>
  <c r="B13" i="3"/>
  <c r="B12" i="3"/>
  <c r="B11" i="3"/>
  <c r="B10" i="3"/>
  <c r="B9" i="3"/>
  <c r="C42" i="2"/>
  <c r="C43" i="2" s="1"/>
  <c r="B38" i="2"/>
  <c r="B42" i="2" s="1"/>
  <c r="C35" i="2"/>
  <c r="C23" i="2"/>
  <c r="B23" i="2"/>
  <c r="C14" i="2"/>
  <c r="C27" i="7" s="1"/>
  <c r="C11" i="10" s="1"/>
  <c r="B14" i="2"/>
  <c r="D27" i="1"/>
  <c r="C7" i="3" s="1"/>
  <c r="C27" i="1"/>
  <c r="B23" i="1"/>
  <c r="B9" i="11" s="1"/>
  <c r="C22" i="1"/>
  <c r="C8" i="11" s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8" i="1"/>
  <c r="B8" i="1"/>
  <c r="D7" i="1"/>
  <c r="B6" i="1"/>
  <c r="C33" i="5" l="1"/>
  <c r="D9" i="7"/>
  <c r="C25" i="7"/>
  <c r="D6" i="7"/>
  <c r="C34" i="5"/>
  <c r="C24" i="1"/>
  <c r="D33" i="5"/>
  <c r="D11" i="6"/>
  <c r="E11" i="6" s="1"/>
  <c r="E6" i="6"/>
  <c r="B26" i="7"/>
  <c r="B25" i="7"/>
  <c r="D25" i="7" s="1"/>
  <c r="C19" i="7"/>
  <c r="D12" i="11"/>
  <c r="E12" i="11" s="1"/>
  <c r="B14" i="6"/>
  <c r="C9" i="1"/>
  <c r="D23" i="4"/>
  <c r="B33" i="5"/>
  <c r="B24" i="1" s="1"/>
  <c r="B24" i="2"/>
  <c r="G5" i="12" s="1"/>
  <c r="B19" i="7"/>
  <c r="B7" i="1"/>
  <c r="B9" i="1" s="1"/>
  <c r="B5" i="11" s="1"/>
  <c r="D13" i="11"/>
  <c r="E13" i="11" s="1"/>
  <c r="D9" i="1"/>
  <c r="D18" i="1" s="1"/>
  <c r="D19" i="1" s="1"/>
  <c r="F12" i="9"/>
  <c r="B35" i="2"/>
  <c r="B43" i="2" s="1"/>
  <c r="D9" i="11"/>
  <c r="E9" i="11" s="1"/>
  <c r="C24" i="7"/>
  <c r="B19" i="12"/>
  <c r="D24" i="1"/>
  <c r="D34" i="5"/>
  <c r="B22" i="1"/>
  <c r="B8" i="11" s="1"/>
  <c r="D8" i="11" s="1"/>
  <c r="E8" i="11" s="1"/>
  <c r="C26" i="7"/>
  <c r="B11" i="7"/>
  <c r="D22" i="1"/>
  <c r="D8" i="7"/>
  <c r="D11" i="7" s="1"/>
  <c r="C11" i="7"/>
  <c r="C21" i="7" s="1"/>
  <c r="H11" i="12" s="1"/>
  <c r="C23" i="4"/>
  <c r="C24" i="2"/>
  <c r="D14" i="7"/>
  <c r="D19" i="7" s="1"/>
  <c r="B5" i="10" l="1"/>
  <c r="D21" i="7"/>
  <c r="B24" i="7"/>
  <c r="C5" i="11"/>
  <c r="B18" i="1"/>
  <c r="C19" i="12"/>
  <c r="B13" i="6"/>
  <c r="D25" i="1"/>
  <c r="D26" i="1" s="1"/>
  <c r="B5" i="12"/>
  <c r="C5" i="12"/>
  <c r="C18" i="1"/>
  <c r="B48" i="2"/>
  <c r="B49" i="2" s="1"/>
  <c r="B10" i="10" s="1"/>
  <c r="B21" i="7"/>
  <c r="G11" i="12" s="1"/>
  <c r="D26" i="7"/>
  <c r="D5" i="12"/>
  <c r="B34" i="5"/>
  <c r="B28" i="7"/>
  <c r="D24" i="7"/>
  <c r="B7" i="11"/>
  <c r="B19" i="1"/>
  <c r="B6" i="10" s="1"/>
  <c r="B25" i="1"/>
  <c r="B7" i="12"/>
  <c r="C28" i="7"/>
  <c r="H5" i="12"/>
  <c r="C48" i="2"/>
  <c r="C49" i="2" s="1"/>
  <c r="D5" i="11"/>
  <c r="E5" i="11" s="1"/>
  <c r="B50" i="2"/>
  <c r="B52" i="2" s="1"/>
  <c r="C19" i="1"/>
  <c r="C6" i="10" s="1"/>
  <c r="C25" i="1"/>
  <c r="C7" i="12"/>
  <c r="C7" i="11"/>
  <c r="B27" i="7"/>
  <c r="D28" i="7" l="1"/>
  <c r="D28" i="1"/>
  <c r="D33" i="1" s="1"/>
  <c r="D35" i="1" s="1"/>
  <c r="D7" i="12"/>
  <c r="D7" i="11"/>
  <c r="E7" i="11" s="1"/>
  <c r="B9" i="12"/>
  <c r="B26" i="1"/>
  <c r="B7" i="10" s="1"/>
  <c r="B10" i="11"/>
  <c r="B12" i="10"/>
  <c r="B20" i="12"/>
  <c r="B28" i="1"/>
  <c r="B13" i="10"/>
  <c r="C9" i="12"/>
  <c r="C13" i="10"/>
  <c r="C26" i="1"/>
  <c r="C7" i="10" s="1"/>
  <c r="C28" i="1"/>
  <c r="C10" i="11"/>
  <c r="C12" i="10"/>
  <c r="C20" i="12"/>
  <c r="C10" i="10"/>
  <c r="C50" i="2"/>
  <c r="C52" i="2" s="1"/>
  <c r="C6" i="3"/>
  <c r="C19" i="3" s="1"/>
  <c r="C22" i="3" s="1"/>
  <c r="C37" i="3" s="1"/>
  <c r="C39" i="3" s="1"/>
  <c r="C41" i="3" s="1"/>
  <c r="D36" i="1"/>
  <c r="D27" i="7"/>
  <c r="B11" i="10"/>
  <c r="C33" i="1" l="1"/>
  <c r="C35" i="1" s="1"/>
  <c r="C8" i="10"/>
  <c r="C11" i="11"/>
  <c r="D10" i="11"/>
  <c r="E10" i="11" s="1"/>
  <c r="B11" i="11"/>
  <c r="D11" i="11" s="1"/>
  <c r="E11" i="11" s="1"/>
  <c r="B33" i="1"/>
  <c r="B35" i="1" s="1"/>
  <c r="B8" i="10"/>
  <c r="D9" i="12"/>
  <c r="B21" i="12" l="1"/>
  <c r="B9" i="10"/>
  <c r="B6" i="3"/>
  <c r="B19" i="3" s="1"/>
  <c r="B22" i="3" s="1"/>
  <c r="B37" i="3" s="1"/>
  <c r="B39" i="3" s="1"/>
  <c r="B41" i="3" s="1"/>
  <c r="B36" i="1"/>
  <c r="B11" i="12"/>
  <c r="D11" i="12" s="1"/>
  <c r="C21" i="12"/>
  <c r="C9" i="10"/>
  <c r="C36" i="1"/>
  <c r="C1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Income statement is linked to detailed revenue and operating expense schedules; finance costs and income taxes are shown below operating income.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Short-term debt and long-term debt are linked directly to the debt summary schedule; retained earnings is calculated as the balancing equity line.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Current-quarter working capital changes are derived from quarter-end balance sheet movements. FY2025 YTD amounts reflect cumulative management cash flow records.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Revenue schedule summarizes recognized revenue for Q4 2025, prior quarter and FY2025 YTD. Amounts are presented in AED thousands and are unaudited management figures.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Cost of sales and operating expenses are grouped to support management P&amp;L review and PE diligence workpapers.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Net working capital excludes cash, debt and lease liabilities and is intended to support diligence liquidity analysis.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Debt summary excludes lease liabilities, which are presented separately on the balance sheet.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Selected leverage, liquidity and profitability ratios are included to mirror PE diligence KPI review packs.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Variance analysis highlights quarter-over-quarter performance movements typically reviewed during diligence management meetings.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Dashboard sheet is designed as an executive snapshot for PE diligence meetings and lender / investor update packs.</t>
        </r>
      </text>
    </comment>
  </commentList>
</comments>
</file>

<file path=xl/sharedStrings.xml><?xml version="1.0" encoding="utf-8"?>
<sst xmlns="http://schemas.openxmlformats.org/spreadsheetml/2006/main" count="356" uniqueCount="270">
  <si>
    <t>Quarterly Income Statement (Profit &amp; Loss)</t>
  </si>
  <si>
    <t>Aurelia Developments LLC | Unaudited management accounts | Quarter ended 31 Dec 2025 | AED '000</t>
  </si>
  <si>
    <t>Financial Line Item</t>
  </si>
  <si>
    <t>Q4 2025</t>
  </si>
  <si>
    <t>Q3 2025</t>
  </si>
  <si>
    <t>FY2025 YTD</t>
  </si>
  <si>
    <t>Revenue</t>
  </si>
  <si>
    <t>Development sales</t>
  </si>
  <si>
    <t>Off-plan development sales</t>
  </si>
  <si>
    <t>Recurring leasing / partnership / other</t>
  </si>
  <si>
    <t>Cost of Sales</t>
  </si>
  <si>
    <t>Construction materials &amp; subcontractors</t>
  </si>
  <si>
    <t>Main contractor progress billings / site works</t>
  </si>
  <si>
    <t>Land, infrastructure &amp; site preparation</t>
  </si>
  <si>
    <t>Sales commissions &amp; closing costs</t>
  </si>
  <si>
    <t>Leasing &amp; hospitality direct operating costs</t>
  </si>
  <si>
    <t>Gross Profit</t>
  </si>
  <si>
    <t>Gross Margin</t>
  </si>
  <si>
    <t>Operating Expenses</t>
  </si>
  <si>
    <t>Sales &amp; Marketing Expenses</t>
  </si>
  <si>
    <t>General &amp; Administrative Expenses</t>
  </si>
  <si>
    <t>Total Operating Expenses before D&amp;A</t>
  </si>
  <si>
    <t>EBITDA</t>
  </si>
  <si>
    <t>EBITDA Margin</t>
  </si>
  <si>
    <t>Depreciation &amp; amortization</t>
  </si>
  <si>
    <t>Operating Income</t>
  </si>
  <si>
    <t>Below EBITDA / Other</t>
  </si>
  <si>
    <t>Interest expense</t>
  </si>
  <si>
    <t>Interest income</t>
  </si>
  <si>
    <t>Income Before Tax</t>
  </si>
  <si>
    <t>Income tax expense</t>
  </si>
  <si>
    <t>Net Income</t>
  </si>
  <si>
    <t>Net Margin</t>
  </si>
  <si>
    <t>Balance Sheet</t>
  </si>
  <si>
    <t>Aurelia Developments LLC | As at 31 Dec 2025 and 30 Sep 2025 | AED '000</t>
  </si>
  <si>
    <t>Asset / Liability Category</t>
  </si>
  <si>
    <t>Assets</t>
  </si>
  <si>
    <t>Current Assets</t>
  </si>
  <si>
    <t>Cash &amp; cash equivalents</t>
  </si>
  <si>
    <t>Restricted cash</t>
  </si>
  <si>
    <t>Accounts receivable</t>
  </si>
  <si>
    <t>Contract assets / unbilled receivables</t>
  </si>
  <si>
    <t>Development inventory</t>
  </si>
  <si>
    <t>Completed units held for sale</t>
  </si>
  <si>
    <t>Prepaid expenses &amp; other current assets</t>
  </si>
  <si>
    <t>Total Current Assets</t>
  </si>
  <si>
    <t>Non-Current Assets</t>
  </si>
  <si>
    <t>Investment properties</t>
  </si>
  <si>
    <t>Property &amp; equipment</t>
  </si>
  <si>
    <t>Right-of-use assets</t>
  </si>
  <si>
    <t>Intangible assets</t>
  </si>
  <si>
    <t>Deferred tax asset</t>
  </si>
  <si>
    <t>Other non-current assets / deposits</t>
  </si>
  <si>
    <t>Total Non-Current Assets</t>
  </si>
  <si>
    <t>Total Assets</t>
  </si>
  <si>
    <t>Liabilities and Equity</t>
  </si>
  <si>
    <t>Current Liabilities</t>
  </si>
  <si>
    <t>Accounts payable</t>
  </si>
  <si>
    <t>Accrued construction &amp; project liabilities</t>
  </si>
  <si>
    <t>Customer deposits / contract liabilities</t>
  </si>
  <si>
    <t>Accrued expenses &amp; other payables</t>
  </si>
  <si>
    <t>Income tax payable</t>
  </si>
  <si>
    <t>Current portion of lease liabilities</t>
  </si>
  <si>
    <t>Short-term debt</t>
  </si>
  <si>
    <t>Total Current Liabilities</t>
  </si>
  <si>
    <t>Non-Current Liabilities</t>
  </si>
  <si>
    <t>Long-term debt</t>
  </si>
  <si>
    <t>Lease liabilities</t>
  </si>
  <si>
    <t>Due to JV partners / related parties</t>
  </si>
  <si>
    <t>Deferred revenue / retention liabilities</t>
  </si>
  <si>
    <t>Total Non-Current Liabilities</t>
  </si>
  <si>
    <t>Total Liabilities</t>
  </si>
  <si>
    <t>Equity</t>
  </si>
  <si>
    <t>Members' capital</t>
  </si>
  <si>
    <t>Contributed surplus / legal reserve</t>
  </si>
  <si>
    <t>Retained earnings</t>
  </si>
  <si>
    <t>Total Equity</t>
  </si>
  <si>
    <t>Total Liabilities &amp; Equity</t>
  </si>
  <si>
    <t>Balance check</t>
  </si>
  <si>
    <t>Cash Flow Statement</t>
  </si>
  <si>
    <t>Cash Flow Category</t>
  </si>
  <si>
    <t>Operating Activities</t>
  </si>
  <si>
    <t>Provision / impairment charges</t>
  </si>
  <si>
    <t>Net cash from operations before interest and tax</t>
  </si>
  <si>
    <t>Interest paid</t>
  </si>
  <si>
    <t>Income taxes paid</t>
  </si>
  <si>
    <t>Net Cash from Operating Activities</t>
  </si>
  <si>
    <t>Investing Activities</t>
  </si>
  <si>
    <t>Capital expenditures</t>
  </si>
  <si>
    <t>Investment property additions</t>
  </si>
  <si>
    <t>Intangible / other investing</t>
  </si>
  <si>
    <t>Net Cash used in Investing Activities</t>
  </si>
  <si>
    <t>Financing Activities</t>
  </si>
  <si>
    <t>Debt issuance</t>
  </si>
  <si>
    <t>Debt repayment</t>
  </si>
  <si>
    <t>Lease principal payments</t>
  </si>
  <si>
    <t>Equity contributions</t>
  </si>
  <si>
    <t>Member distributions / financing fees</t>
  </si>
  <si>
    <t>Net Cash from / (used in) Financing Activities</t>
  </si>
  <si>
    <t>Net Change in Cash</t>
  </si>
  <si>
    <t>Beginning Cash Balance</t>
  </si>
  <si>
    <t>Ending Cash Balance</t>
  </si>
  <si>
    <t>Cash flow tie-out to balance sheet</t>
  </si>
  <si>
    <t>Revenue Breakdown by Segment</t>
  </si>
  <si>
    <t>Revenue Segment</t>
  </si>
  <si>
    <t>Development Sales</t>
  </si>
  <si>
    <t>Waterfront tower unit handovers</t>
  </si>
  <si>
    <t>Villa community handovers</t>
  </si>
  <si>
    <t>Branded residences closings</t>
  </si>
  <si>
    <t>Subtotal Development Sales</t>
  </si>
  <si>
    <t>Off-plan Development Sales</t>
  </si>
  <si>
    <t>Tower developments recognized over time</t>
  </si>
  <si>
    <t>Villa phases recognized over time</t>
  </si>
  <si>
    <t>Subtotal Off-plan Development Sales</t>
  </si>
  <si>
    <t>Recurring / Partnership / Other Revenue</t>
  </si>
  <si>
    <t>Retail leasing income</t>
  </si>
  <si>
    <t>Hospitality / branded residence partnerships</t>
  </si>
  <si>
    <t>Development management &amp; JV fees</t>
  </si>
  <si>
    <t>Other income</t>
  </si>
  <si>
    <t>Subtotal Recurring / Partnership / Other Revenue</t>
  </si>
  <si>
    <t>Total Revenue</t>
  </si>
  <si>
    <t>Operating Expense Breakdown</t>
  </si>
  <si>
    <t>Expense Category</t>
  </si>
  <si>
    <t>Direct Project Costs / Cost of Sales</t>
  </si>
  <si>
    <t>Total Direct Project Costs / Cost of Sales</t>
  </si>
  <si>
    <t>Sales &amp; Marketing</t>
  </si>
  <si>
    <t>Advertising &amp; digital media</t>
  </si>
  <si>
    <t>Broker incentives &amp; channel commissions</t>
  </si>
  <si>
    <t>Show units / launches / events</t>
  </si>
  <si>
    <t>CRM, lead generation &amp; market research</t>
  </si>
  <si>
    <t>Total Sales &amp; Marketing</t>
  </si>
  <si>
    <t>General &amp; Administrative</t>
  </si>
  <si>
    <t>Payroll &amp; benefits</t>
  </si>
  <si>
    <t>Office, utilities &amp; facilities</t>
  </si>
  <si>
    <t>Professional fees</t>
  </si>
  <si>
    <t>Insurance</t>
  </si>
  <si>
    <t>Technology &amp; IT</t>
  </si>
  <si>
    <t>Travel, entertainment &amp; other G&amp;A</t>
  </si>
  <si>
    <t>Total General &amp; Administrative</t>
  </si>
  <si>
    <t>Non-cash Operating Charges</t>
  </si>
  <si>
    <t>Total Operating Expenses incl. D&amp;A</t>
  </si>
  <si>
    <t>Project-Level Financial Performance</t>
  </si>
  <si>
    <t>Aurelia Developments LLC | Quarter ended 31 Dec 2025 | AED '000 unless otherwise noted</t>
  </si>
  <si>
    <t>Development Project</t>
  </si>
  <si>
    <t>Costs</t>
  </si>
  <si>
    <t>Units / Occupancy</t>
  </si>
  <si>
    <t>Backlog / Remaining GDV</t>
  </si>
  <si>
    <t>Major Development Projects</t>
  </si>
  <si>
    <t>Azure Marina Tower</t>
  </si>
  <si>
    <t>Palm Crest Villas</t>
  </si>
  <si>
    <t>Aurelia Residences by Riviera</t>
  </si>
  <si>
    <t>Harbor Walk Mixed-Use District</t>
  </si>
  <si>
    <t>Pearl Quay Retail Promenade</t>
  </si>
  <si>
    <t>Total</t>
  </si>
  <si>
    <t>Revenue tie-out to Income Statement</t>
  </si>
  <si>
    <t>Cost of sales tie-out to Income Statement</t>
  </si>
  <si>
    <t>Working Capital Analysis</t>
  </si>
  <si>
    <t>Aurelia Developments LLC | As at 31 Dec 2025 and 30 Sep 2025 | AED '000 unless otherwise noted</t>
  </si>
  <si>
    <t>Working Capital Component</t>
  </si>
  <si>
    <t>Change</t>
  </si>
  <si>
    <t>Operating Current Assets</t>
  </si>
  <si>
    <t>Total Operating Current Assets</t>
  </si>
  <si>
    <t>Operating Current Liabilities</t>
  </si>
  <si>
    <t>Total Operating Current Liabilities</t>
  </si>
  <si>
    <t>Net Working Capital</t>
  </si>
  <si>
    <t>Working Capital Metrics</t>
  </si>
  <si>
    <t>Receivables days</t>
  </si>
  <si>
    <t>Inventory days</t>
  </si>
  <si>
    <t>Accounts payable days</t>
  </si>
  <si>
    <t>Current ratio</t>
  </si>
  <si>
    <t>Cash conversion cycle (days)</t>
  </si>
  <si>
    <t>Debt and Financing Summary</t>
  </si>
  <si>
    <t>Lender</t>
  </si>
  <si>
    <t>Loan Type</t>
  </si>
  <si>
    <t>Interest Rate</t>
  </si>
  <si>
    <t>Outstanding Balance</t>
  </si>
  <si>
    <t>Current Portion</t>
  </si>
  <si>
    <t>Non-Current Portion</t>
  </si>
  <si>
    <t>Maturity Date</t>
  </si>
  <si>
    <t>Security / Key Terms</t>
  </si>
  <si>
    <t>Interest-Bearing Debt Facilities</t>
  </si>
  <si>
    <t>Emirates NBD</t>
  </si>
  <si>
    <t>Secured project finance facility</t>
  </si>
  <si>
    <t>30 Jun 2028</t>
  </si>
  <si>
    <t>Project-specific security package / DSCR ≥1.20x</t>
  </si>
  <si>
    <t>First Abu Dhabi Bank</t>
  </si>
  <si>
    <t>Corporate term loan</t>
  </si>
  <si>
    <t>30 Sep 2029</t>
  </si>
  <si>
    <t>Corporate guarantee / leverage covenant</t>
  </si>
  <si>
    <t>Mashreq Bank</t>
  </si>
  <si>
    <t>Land acquisition bridge facility</t>
  </si>
  <si>
    <t>15 Nov 2026</t>
  </si>
  <si>
    <t>Land pledge / presales milestone tests</t>
  </si>
  <si>
    <t>ADCB</t>
  </si>
  <si>
    <t>Revolving working capital line</t>
  </si>
  <si>
    <t>31 Mar 2027</t>
  </si>
  <si>
    <t>Receivables-backed borrowing base</t>
  </si>
  <si>
    <t>Dubai Islamic Bank</t>
  </si>
  <si>
    <t>Sukuk / mezzanine development facility</t>
  </si>
  <si>
    <t>31 Dec 2028</t>
  </si>
  <si>
    <t>Subordinated project-level covenant package</t>
  </si>
  <si>
    <t>Total Funded Debt</t>
  </si>
  <si>
    <t>Weighted average interest rate</t>
  </si>
  <si>
    <t>Capital Expenditure Schedule</t>
  </si>
  <si>
    <t>Aurelia Developments LLC | Quarter ended 31 Dec 2025 | AED '000</t>
  </si>
  <si>
    <t>Project / Initiative</t>
  </si>
  <si>
    <t>Description</t>
  </si>
  <si>
    <t>CapEx This Quarter</t>
  </si>
  <si>
    <t>Year-to-Date CapEx</t>
  </si>
  <si>
    <t>FY2025 Budget</t>
  </si>
  <si>
    <t>% of Budget Spent</t>
  </si>
  <si>
    <t>Capital Investments</t>
  </si>
  <si>
    <t>Enabling works, design development and façade packages</t>
  </si>
  <si>
    <t>Palm Crest Villas Phase II</t>
  </si>
  <si>
    <t>Infrastructure, landscaping and show villa enhancements</t>
  </si>
  <si>
    <t>Shell &amp; core works and retail fit-out predevelopment</t>
  </si>
  <si>
    <t>Branded Residences by Riviera</t>
  </si>
  <si>
    <t>Fit-out, FF&amp;E and hospitality integration costs</t>
  </si>
  <si>
    <t>ERP / CRM / Digital Platforms</t>
  </si>
  <si>
    <t>ERP stabilization, CRM integration and analytics tools</t>
  </si>
  <si>
    <t>Sales Galleries &amp; Show Units</t>
  </si>
  <si>
    <t>Temporary structures, signage and customer experience upgrades</t>
  </si>
  <si>
    <t>Key Financial Ratios</t>
  </si>
  <si>
    <t>Aurelia Developments LLC | Quarter ended 31 Dec 2025 | Ratios based on unaudited management accounts</t>
  </si>
  <si>
    <t>Financial Metric</t>
  </si>
  <si>
    <t>Definition / Reference</t>
  </si>
  <si>
    <t>Revenue Growth</t>
  </si>
  <si>
    <t>n/a</t>
  </si>
  <si>
    <t>Current quarter revenue vs. previous quarter</t>
  </si>
  <si>
    <t>Gross profit / revenue</t>
  </si>
  <si>
    <t>EBITDA / revenue</t>
  </si>
  <si>
    <t>Operating Margin</t>
  </si>
  <si>
    <t>Operating income / revenue</t>
  </si>
  <si>
    <t>Net income / revenue</t>
  </si>
  <si>
    <t>Debt-to-Equity Ratio</t>
  </si>
  <si>
    <t>Funded debt plus lease liabilities / equity</t>
  </si>
  <si>
    <t>Current Ratio</t>
  </si>
  <si>
    <t>Current assets / current liabilities</t>
  </si>
  <si>
    <t>Interest Coverage</t>
  </si>
  <si>
    <t>EBITDA / interest expense</t>
  </si>
  <si>
    <t>Net Debt / Annualized EBITDA</t>
  </si>
  <si>
    <t>(Debt - cash) / annualized EBITDA</t>
  </si>
  <si>
    <t>Quarterly Variance Analysis</t>
  </si>
  <si>
    <t>Aurelia Developments LLC | Q4 2025 vs. Q3 2025 | AED '000</t>
  </si>
  <si>
    <t>Financial Category</t>
  </si>
  <si>
    <t>Variance</t>
  </si>
  <si>
    <t>Variance %</t>
  </si>
  <si>
    <t>Management Commentary</t>
  </si>
  <si>
    <t>Higher handovers and stronger branded residence closings in the quarter.</t>
  </si>
  <si>
    <t>Increase reflects delivery mix and higher construction progress billings.</t>
  </si>
  <si>
    <t>Margin benefited from project mix and better performance at Pearl Quay.</t>
  </si>
  <si>
    <t>Incremental spend supported launches and broker channel activity.</t>
  </si>
  <si>
    <t>Growth primarily due to headcount and advisory costs on active developments.</t>
  </si>
  <si>
    <t>Operating leverage on higher revenue more than offset growth in overheads.</t>
  </si>
  <si>
    <t>Improved profitability despite higher depreciation from new assets in service.</t>
  </si>
  <si>
    <t>Net Finance Cost</t>
  </si>
  <si>
    <t>Finance costs increased with larger average funded debt during the period.</t>
  </si>
  <si>
    <t>Profitability improved due to stronger delivery volumes and gross profit conversion.</t>
  </si>
  <si>
    <t>Quarterly Financial Summary Dashboard</t>
  </si>
  <si>
    <t>Aurelia Developments LLC | Q4 2025 | Unaudited management accounts</t>
  </si>
  <si>
    <t>Metric</t>
  </si>
  <si>
    <t>QoQ Change</t>
  </si>
  <si>
    <t>Previous Quarter</t>
  </si>
  <si>
    <t>Total Debt</t>
  </si>
  <si>
    <t>Cash Balance</t>
  </si>
  <si>
    <t>Dashboard summarizes core profitability, liquidity and leverage metrics for investor diligence review. All amounts are unaudited and presented in AED thousands.</t>
  </si>
  <si>
    <t>KPI</t>
  </si>
  <si>
    <t>Revenue Mix</t>
  </si>
  <si>
    <t>Off-plan sales</t>
  </si>
  <si>
    <t>Recurring /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</si>
</sst>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[Red]\(#,##0.0\);\-"/>
    <numFmt numFmtId="165" formatCode="0.0%;[Red]\(0.0%\);\-"/>
    <numFmt numFmtId="166" formatCode="#,##0;[Red]\(#,##0\);\-"/>
    <numFmt numFmtId="167" formatCode="0.00\x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666666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  <font>
      <sz val="11"/>
      <color rgb="FF66666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1F4E78"/>
      </patternFill>
    </fill>
    <fill>
      <patternFill patternType="solid">
        <fgColor rgb="FF0F243E"/>
      </patternFill>
    </fill>
    <fill>
      <patternFill patternType="solid">
        <fgColor rgb="FFD9E2F3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AF3FB"/>
      </patternFill>
    </fill>
  </fills>
  <borders count="4">
    <border>
      <left/>
      <right/>
      <top/>
      <bottom/>
      <diagonal/>
    </border>
    <border>
      <left/>
      <right/>
      <top style="medium">
        <color rgb="FF163A5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163A5F"/>
      </top>
      <bottom style="medium">
        <color rgb="FF163A5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1" xfId="0" applyFont="1" applyFill="1" applyBorder="1" applyAlignment="1">
      <alignment horizontal="left" wrapText="1"/>
    </xf>
    <xf numFmtId="164" fontId="8" fillId="0" borderId="0" xfId="0" applyNumberFormat="1" applyFont="1" applyAlignment="1">
      <alignment horizontal="right"/>
    </xf>
    <xf numFmtId="0" fontId="7" fillId="6" borderId="3" xfId="0" applyFont="1" applyFill="1" applyBorder="1" applyAlignment="1">
      <alignment horizontal="left" wrapText="1" indent="1"/>
    </xf>
    <xf numFmtId="164" fontId="7" fillId="6" borderId="3" xfId="0" applyNumberFormat="1" applyFont="1" applyFill="1" applyBorder="1" applyAlignment="1">
      <alignment horizontal="right"/>
    </xf>
    <xf numFmtId="0" fontId="7" fillId="5" borderId="2" xfId="0" applyFont="1" applyFill="1" applyBorder="1" applyAlignment="1">
      <alignment horizontal="left" wrapText="1" indent="1"/>
    </xf>
    <xf numFmtId="165" fontId="7" fillId="5" borderId="2" xfId="0" applyNumberFormat="1" applyFont="1" applyFill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7" fillId="5" borderId="2" xfId="0" applyNumberFormat="1" applyFont="1" applyFill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7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5" fontId="7" fillId="6" borderId="3" xfId="0" applyNumberFormat="1" applyFont="1" applyFill="1" applyBorder="1" applyAlignment="1">
      <alignment horizontal="right"/>
    </xf>
    <xf numFmtId="166" fontId="7" fillId="6" borderId="3" xfId="0" applyNumberFormat="1" applyFont="1" applyFill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7" fillId="8" borderId="2" xfId="0" applyFont="1" applyFill="1" applyBorder="1"/>
    <xf numFmtId="164" fontId="8" fillId="8" borderId="2" xfId="0" applyNumberFormat="1" applyFont="1" applyFill="1" applyBorder="1" applyAlignment="1">
      <alignment horizontal="right"/>
    </xf>
    <xf numFmtId="164" fontId="6" fillId="8" borderId="2" xfId="0" applyNumberFormat="1" applyFont="1" applyFill="1" applyBorder="1" applyAlignment="1">
      <alignment horizontal="right"/>
    </xf>
    <xf numFmtId="0" fontId="0" fillId="0" borderId="0" xfId="0" applyAlignment="1">
      <alignment horizontal="left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wrapText="1" indent="1"/>
    </xf>
    <xf numFmtId="0" fontId="7" fillId="5" borderId="2" xfId="0" applyFont="1" applyFill="1" applyBorder="1"/>
    <xf numFmtId="0" fontId="7" fillId="6" borderId="3" xfId="0" applyFont="1" applyFill="1" applyBorder="1"/>
    <xf numFmtId="0" fontId="1" fillId="2" borderId="0" xfId="0" applyFont="1" applyFill="1" applyAlignment="1">
      <alignment horizontal="left" wrapText="1"/>
    </xf>
    <xf numFmtId="0" fontId="0" fillId="0" borderId="0" xfId="0"/>
    <xf numFmtId="0" fontId="4" fillId="4" borderId="1" xfId="0" applyFont="1" applyFill="1" applyBorder="1" applyAlignment="1">
      <alignment horizontal="left" wrapText="1" indent="1"/>
    </xf>
    <xf numFmtId="0" fontId="0" fillId="4" borderId="1" xfId="0" applyFill="1" applyBorder="1"/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9" fillId="9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Current vs Previous Quarter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'12. Dashboard'!$B$18</c:f>
              <c:strCache>
                <c:ptCount val="1"/>
                <c:pt idx="0">
                  <c:v>Q4 2025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'12. Dashboard'!$A$19:$A$21</c:f>
              <c:strCache>
                <c:ptCount val="3"/>
                <c:pt idx="0">
                  <c:v>Revenue</c:v>
                </c:pt>
                <c:pt idx="1">
                  <c:v>EBITDA</c:v>
                </c:pt>
                <c:pt idx="2">
                  <c:v>Net Income</c:v>
                </c:pt>
              </c:strCache>
            </c:strRef>
          </c:cat>
          <c:val>
            <c:numRef>
              <c:f>'12. Dashboard'!$B$19:$B$21</c:f>
              <c:numCache>
                <c:formatCode>#,##0.0;[Red]\(#,##0.0\);\-</c:formatCode>
                <c:ptCount val="3"/>
                <c:pt idx="0">
                  <c:v>453</c:v>
                </c:pt>
                <c:pt idx="1">
                  <c:v>70.399999999999991</c:v>
                </c:pt>
                <c:pt idx="2">
                  <c:v>48.099999999999994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9-5046-87F7-B8D36D3ACC64}"/>
            </c:ext>
          </c:extLst>
        </c:ser>
        <c:ser>
          <c:idx val="1"/>
          <c:order val="1"/>
          <c:tx>
            <c:strRef>
              <c:f>'12. Dashboard'!$C$18</c:f>
              <c:strCache>
                <c:ptCount val="1"/>
                <c:pt idx="0">
                  <c:v>Q3 2025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'12. Dashboard'!$A$19:$A$21</c:f>
              <c:strCache>
                <c:ptCount val="3"/>
                <c:pt idx="0">
                  <c:v>Revenue</c:v>
                </c:pt>
                <c:pt idx="1">
                  <c:v>EBITDA</c:v>
                </c:pt>
                <c:pt idx="2">
                  <c:v>Net Income</c:v>
                </c:pt>
              </c:strCache>
            </c:strRef>
          </c:cat>
          <c:val>
            <c:numRef>
              <c:f>'12. Dashboard'!$C$19:$C$21</c:f>
              <c:numCache>
                <c:formatCode>#,##0.0;[Red]\(#,##0.0\);\-</c:formatCode>
                <c:ptCount val="3"/>
                <c:pt idx="0">
                  <c:v>374</c:v>
                </c:pt>
                <c:pt idx="1">
                  <c:v>48.3</c:v>
                </c:pt>
                <c:pt idx="2">
                  <c:v>28.599999999999998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9-5046-87F7-B8D36D3AC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KPI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AED '000</a:t>
                </a:r>
              </a:p>
            </c:rich>
          </c:tx>
          <c:overlay val="1"/>
        </c:title>
        <c:numFmt formatCode="#,##0.0;[Red]\(#,##0.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Mix - Current Quarter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'12. Dashboard'!$G$18</c:f>
              <c:strCache>
                <c:ptCount val="1"/>
                <c:pt idx="0">
                  <c:v>Q4 2025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'12. Dashboard'!$F$19:$F$21</c:f>
              <c:strCache>
                <c:ptCount val="3"/>
                <c:pt idx="0">
                  <c:v>Development sales</c:v>
                </c:pt>
                <c:pt idx="1">
                  <c:v>Off-plan sales</c:v>
                </c:pt>
                <c:pt idx="2">
                  <c:v>Recurring / other</c:v>
                </c:pt>
              </c:strCache>
            </c:strRef>
          </c:cat>
          <c:val>
            <c:numRef>
              <c:f>'12. Dashboard'!$G$19:$G$21</c:f>
              <c:numCache>
                <c:formatCode>#,##0.0;[Red]\(#,##0.0\);\-</c:formatCode>
                <c:ptCount val="3"/>
                <c:pt idx="0">
                  <c:v>235</c:v>
                </c:pt>
                <c:pt idx="1">
                  <c:v>165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D-6A43-BE7C-B2A04EA60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22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9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42" customWidth="1"/>
    <col min="2" max="4" width="16" customWidth="1"/>
  </cols>
  <sheetData>
    <row r="1" spans="1:4" ht="22" customHeight="1" x14ac:dyDescent="0.25">
      <c r="A1" s="27" t="s">
        <v>0</v>
      </c>
      <c r="B1" s="28"/>
      <c r="C1" s="28"/>
      <c r="D1" s="28"/>
    </row>
    <row r="2" spans="1:4" ht="18" customHeight="1" x14ac:dyDescent="0.2">
      <c r="A2" s="31" t="s">
        <v>1</v>
      </c>
      <c r="B2" s="28"/>
      <c r="C2" s="28"/>
      <c r="D2" s="28"/>
    </row>
    <row r="3" spans="1:4" x14ac:dyDescent="0.2">
      <c r="A3" s="22"/>
    </row>
    <row r="4" spans="1:4" ht="20" customHeight="1" x14ac:dyDescent="0.2">
      <c r="A4" s="1" t="s">
        <v>2</v>
      </c>
      <c r="B4" s="23" t="s">
        <v>3</v>
      </c>
      <c r="C4" s="23" t="s">
        <v>4</v>
      </c>
      <c r="D4" s="23" t="s">
        <v>5</v>
      </c>
    </row>
    <row r="5" spans="1:4" x14ac:dyDescent="0.2">
      <c r="A5" s="29" t="s">
        <v>6</v>
      </c>
      <c r="B5" s="30"/>
      <c r="C5" s="30"/>
      <c r="D5" s="30"/>
    </row>
    <row r="6" spans="1:4" ht="16" x14ac:dyDescent="0.2">
      <c r="A6" s="24" t="s">
        <v>7</v>
      </c>
      <c r="B6" s="2">
        <f>'4. Revenue Breakdown'!B9</f>
        <v>235</v>
      </c>
      <c r="C6" s="2">
        <f>'4. Revenue Breakdown'!C9</f>
        <v>180</v>
      </c>
      <c r="D6" s="2">
        <f>'4. Revenue Breakdown'!D9</f>
        <v>690</v>
      </c>
    </row>
    <row r="7" spans="1:4" ht="16" x14ac:dyDescent="0.2">
      <c r="A7" s="24" t="s">
        <v>8</v>
      </c>
      <c r="B7" s="2">
        <f>'4. Revenue Breakdown'!B14</f>
        <v>165</v>
      </c>
      <c r="C7" s="2">
        <f>'4. Revenue Breakdown'!C14</f>
        <v>150</v>
      </c>
      <c r="D7" s="2">
        <f>'4. Revenue Breakdown'!D14</f>
        <v>560</v>
      </c>
    </row>
    <row r="8" spans="1:4" ht="16" x14ac:dyDescent="0.2">
      <c r="A8" s="24" t="s">
        <v>9</v>
      </c>
      <c r="B8" s="2">
        <f>'4. Revenue Breakdown'!B21</f>
        <v>53</v>
      </c>
      <c r="C8" s="2">
        <f>'4. Revenue Breakdown'!C21</f>
        <v>44</v>
      </c>
      <c r="D8" s="2">
        <f>'4. Revenue Breakdown'!D21</f>
        <v>176.5</v>
      </c>
    </row>
    <row r="9" spans="1:4" ht="18" customHeight="1" x14ac:dyDescent="0.2">
      <c r="A9" s="3" t="s">
        <v>6</v>
      </c>
      <c r="B9" s="4">
        <f>SUM(B6:B8)</f>
        <v>453</v>
      </c>
      <c r="C9" s="4">
        <f>SUM(C6:C8)</f>
        <v>374</v>
      </c>
      <c r="D9" s="4">
        <f>SUM(D6:D8)</f>
        <v>1426.5</v>
      </c>
    </row>
    <row r="10" spans="1:4" x14ac:dyDescent="0.2">
      <c r="A10" s="24"/>
    </row>
    <row r="11" spans="1:4" x14ac:dyDescent="0.2">
      <c r="A11" s="29" t="s">
        <v>10</v>
      </c>
      <c r="B11" s="30"/>
      <c r="C11" s="30"/>
      <c r="D11" s="30"/>
    </row>
    <row r="12" spans="1:4" ht="16" x14ac:dyDescent="0.2">
      <c r="A12" s="24" t="s">
        <v>11</v>
      </c>
      <c r="B12" s="2">
        <f>'5. OpEx Breakdown'!B6</f>
        <v>196</v>
      </c>
      <c r="C12" s="2">
        <f>'5. OpEx Breakdown'!C6</f>
        <v>153</v>
      </c>
      <c r="D12" s="2">
        <f>'5. OpEx Breakdown'!D6</f>
        <v>618</v>
      </c>
    </row>
    <row r="13" spans="1:4" ht="16" x14ac:dyDescent="0.2">
      <c r="A13" s="24" t="s">
        <v>12</v>
      </c>
      <c r="B13" s="2">
        <f>'5. OpEx Breakdown'!B7</f>
        <v>56</v>
      </c>
      <c r="C13" s="2">
        <f>'5. OpEx Breakdown'!C7</f>
        <v>57</v>
      </c>
      <c r="D13" s="2">
        <f>'5. OpEx Breakdown'!D7</f>
        <v>167</v>
      </c>
    </row>
    <row r="14" spans="1:4" ht="16" x14ac:dyDescent="0.2">
      <c r="A14" s="24" t="s">
        <v>13</v>
      </c>
      <c r="B14" s="2">
        <f>'5. OpEx Breakdown'!B8</f>
        <v>38</v>
      </c>
      <c r="C14" s="2">
        <f>'5. OpEx Breakdown'!C8</f>
        <v>35</v>
      </c>
      <c r="D14" s="2">
        <f>'5. OpEx Breakdown'!D8</f>
        <v>132</v>
      </c>
    </row>
    <row r="15" spans="1:4" ht="16" x14ac:dyDescent="0.2">
      <c r="A15" s="24" t="s">
        <v>14</v>
      </c>
      <c r="B15" s="2">
        <f>'5. OpEx Breakdown'!B9</f>
        <v>19.5</v>
      </c>
      <c r="C15" s="2">
        <f>'5. OpEx Breakdown'!C9</f>
        <v>15</v>
      </c>
      <c r="D15" s="2">
        <f>'5. OpEx Breakdown'!D9</f>
        <v>57.4</v>
      </c>
    </row>
    <row r="16" spans="1:4" ht="16" x14ac:dyDescent="0.2">
      <c r="A16" s="24" t="s">
        <v>15</v>
      </c>
      <c r="B16" s="2">
        <f>'5. OpEx Breakdown'!B10</f>
        <v>11.8</v>
      </c>
      <c r="C16" s="2">
        <f>'5. OpEx Breakdown'!C10</f>
        <v>10.5</v>
      </c>
      <c r="D16" s="2">
        <f>'5. OpEx Breakdown'!D10</f>
        <v>41.7</v>
      </c>
    </row>
    <row r="17" spans="1:4" ht="18" customHeight="1" x14ac:dyDescent="0.2">
      <c r="A17" s="3" t="s">
        <v>10</v>
      </c>
      <c r="B17" s="4">
        <f>'5. OpEx Breakdown'!B11</f>
        <v>321.3</v>
      </c>
      <c r="C17" s="4">
        <f>'5. OpEx Breakdown'!C11</f>
        <v>270.5</v>
      </c>
      <c r="D17" s="4">
        <f>'5. OpEx Breakdown'!D11</f>
        <v>1016.1</v>
      </c>
    </row>
    <row r="18" spans="1:4" ht="18" customHeight="1" x14ac:dyDescent="0.2">
      <c r="A18" s="3" t="s">
        <v>16</v>
      </c>
      <c r="B18" s="4">
        <f>B9-B17</f>
        <v>131.69999999999999</v>
      </c>
      <c r="C18" s="4">
        <f>C9-C17</f>
        <v>103.5</v>
      </c>
      <c r="D18" s="4">
        <f>D9-D17</f>
        <v>410.4</v>
      </c>
    </row>
    <row r="19" spans="1:4" ht="18" customHeight="1" x14ac:dyDescent="0.2">
      <c r="A19" s="5" t="s">
        <v>17</v>
      </c>
      <c r="B19" s="6">
        <f>IFERROR(B18/B9,0)</f>
        <v>0.29072847682119202</v>
      </c>
      <c r="C19" s="6">
        <f>IFERROR(C18/C9,0)</f>
        <v>0.2767379679144385</v>
      </c>
      <c r="D19" s="6">
        <f>IFERROR(D18/D9,0)</f>
        <v>0.28769716088328073</v>
      </c>
    </row>
    <row r="20" spans="1:4" x14ac:dyDescent="0.2">
      <c r="A20" s="24"/>
    </row>
    <row r="21" spans="1:4" x14ac:dyDescent="0.2">
      <c r="A21" s="29" t="s">
        <v>18</v>
      </c>
      <c r="B21" s="30"/>
      <c r="C21" s="30"/>
      <c r="D21" s="30"/>
    </row>
    <row r="22" spans="1:4" ht="16" x14ac:dyDescent="0.2">
      <c r="A22" s="24" t="s">
        <v>19</v>
      </c>
      <c r="B22" s="2">
        <f>'5. OpEx Breakdown'!B18</f>
        <v>18.8</v>
      </c>
      <c r="C22" s="2">
        <f>'5. OpEx Breakdown'!C18</f>
        <v>15.899999999999999</v>
      </c>
      <c r="D22" s="2">
        <f>'5. OpEx Breakdown'!D18</f>
        <v>67.900000000000006</v>
      </c>
    </row>
    <row r="23" spans="1:4" ht="16" x14ac:dyDescent="0.2">
      <c r="A23" s="24" t="s">
        <v>20</v>
      </c>
      <c r="B23" s="2">
        <f>'5. OpEx Breakdown'!B27</f>
        <v>42.5</v>
      </c>
      <c r="C23" s="2">
        <f>'5. OpEx Breakdown'!C27</f>
        <v>39.300000000000004</v>
      </c>
      <c r="D23" s="2">
        <f>'5. OpEx Breakdown'!D27</f>
        <v>161.29999999999998</v>
      </c>
    </row>
    <row r="24" spans="1:4" ht="16" x14ac:dyDescent="0.2">
      <c r="A24" s="24" t="s">
        <v>21</v>
      </c>
      <c r="B24" s="2">
        <f>'5. OpEx Breakdown'!B33</f>
        <v>61.3</v>
      </c>
      <c r="C24" s="2">
        <f>'5. OpEx Breakdown'!C33</f>
        <v>55.2</v>
      </c>
      <c r="D24" s="2">
        <f>'5. OpEx Breakdown'!D33</f>
        <v>229.2</v>
      </c>
    </row>
    <row r="25" spans="1:4" ht="18" customHeight="1" x14ac:dyDescent="0.2">
      <c r="A25" s="3" t="s">
        <v>22</v>
      </c>
      <c r="B25" s="4">
        <f>B18-B24</f>
        <v>70.399999999999991</v>
      </c>
      <c r="C25" s="4">
        <f>C18-C24</f>
        <v>48.3</v>
      </c>
      <c r="D25" s="4">
        <f>D18-D24</f>
        <v>181.2</v>
      </c>
    </row>
    <row r="26" spans="1:4" ht="18" customHeight="1" x14ac:dyDescent="0.2">
      <c r="A26" s="5" t="s">
        <v>23</v>
      </c>
      <c r="B26" s="6">
        <f>IFERROR(B25/B9,0)</f>
        <v>0.15540838852097127</v>
      </c>
      <c r="C26" s="6">
        <f>IFERROR(C25/C9,0)</f>
        <v>0.12914438502673797</v>
      </c>
      <c r="D26" s="6">
        <f>IFERROR(D25/D9,0)</f>
        <v>0.12702418506834909</v>
      </c>
    </row>
    <row r="27" spans="1:4" ht="16" x14ac:dyDescent="0.2">
      <c r="A27" s="24" t="s">
        <v>24</v>
      </c>
      <c r="B27" s="2">
        <f>'5. OpEx Breakdown'!B31</f>
        <v>6.8</v>
      </c>
      <c r="C27" s="2">
        <f>'5. OpEx Breakdown'!C31</f>
        <v>6.4</v>
      </c>
      <c r="D27" s="2">
        <f>'5. OpEx Breakdown'!D31</f>
        <v>25.6</v>
      </c>
    </row>
    <row r="28" spans="1:4" ht="18" customHeight="1" x14ac:dyDescent="0.2">
      <c r="A28" s="3" t="s">
        <v>25</v>
      </c>
      <c r="B28" s="4">
        <f>B25-B27</f>
        <v>63.599999999999994</v>
      </c>
      <c r="C28" s="4">
        <f>C25-C27</f>
        <v>41.9</v>
      </c>
      <c r="D28" s="4">
        <f>D25-D27</f>
        <v>155.6</v>
      </c>
    </row>
    <row r="29" spans="1:4" x14ac:dyDescent="0.2">
      <c r="A29" s="24"/>
    </row>
    <row r="30" spans="1:4" x14ac:dyDescent="0.2">
      <c r="A30" s="29" t="s">
        <v>26</v>
      </c>
      <c r="B30" s="30"/>
      <c r="C30" s="30"/>
      <c r="D30" s="30"/>
    </row>
    <row r="31" spans="1:4" ht="16" x14ac:dyDescent="0.2">
      <c r="A31" s="24" t="s">
        <v>27</v>
      </c>
      <c r="B31" s="7">
        <v>12.9</v>
      </c>
      <c r="C31" s="7">
        <v>11.8</v>
      </c>
      <c r="D31" s="7">
        <v>48.6</v>
      </c>
    </row>
    <row r="32" spans="1:4" ht="16" x14ac:dyDescent="0.2">
      <c r="A32" s="24" t="s">
        <v>28</v>
      </c>
      <c r="B32" s="7">
        <v>1.4</v>
      </c>
      <c r="C32" s="7">
        <v>1.1000000000000001</v>
      </c>
      <c r="D32" s="7">
        <v>4.5</v>
      </c>
    </row>
    <row r="33" spans="1:4" ht="18" customHeight="1" x14ac:dyDescent="0.2">
      <c r="A33" s="3" t="s">
        <v>29</v>
      </c>
      <c r="B33" s="4">
        <f>B28-B31+B32</f>
        <v>52.099999999999994</v>
      </c>
      <c r="C33" s="4">
        <f>C28-C31+C32</f>
        <v>31.2</v>
      </c>
      <c r="D33" s="4">
        <f>D28-D31+D32</f>
        <v>111.5</v>
      </c>
    </row>
    <row r="34" spans="1:4" ht="16" x14ac:dyDescent="0.2">
      <c r="A34" s="24" t="s">
        <v>30</v>
      </c>
      <c r="B34" s="7">
        <v>4</v>
      </c>
      <c r="C34" s="7">
        <v>2.6</v>
      </c>
      <c r="D34" s="7">
        <v>9.1999999999999993</v>
      </c>
    </row>
    <row r="35" spans="1:4" ht="18" customHeight="1" x14ac:dyDescent="0.2">
      <c r="A35" s="3" t="s">
        <v>31</v>
      </c>
      <c r="B35" s="4">
        <f>B33-B34</f>
        <v>48.099999999999994</v>
      </c>
      <c r="C35" s="4">
        <f>C33-C34</f>
        <v>28.599999999999998</v>
      </c>
      <c r="D35" s="4">
        <f>D33-D34</f>
        <v>102.3</v>
      </c>
    </row>
    <row r="36" spans="1:4" ht="18" customHeight="1" x14ac:dyDescent="0.2">
      <c r="A36" s="5" t="s">
        <v>32</v>
      </c>
      <c r="B36" s="6">
        <f>IFERROR(B35/B9,0)</f>
        <v>0.10618101545253862</v>
      </c>
      <c r="C36" s="6">
        <f>IFERROR(C35/C9,0)</f>
        <v>7.647058823529411E-2</v>
      </c>
      <c r="D36" s="6">
        <f>IFERROR(D35/D9,0)</f>
        <v>7.1713985278654052E-2</v>
      </c>
    </row>
    <row r="37" spans="1:4" x14ac:dyDescent="0.2">
      <c r="A37" s="24"/>
    </row>
    <row r="38" spans="1:4" x14ac:dyDescent="0.2">
      <c r="A38" s="24"/>
    </row>
    <row r="39" spans="1:4" x14ac:dyDescent="0.2">
      <c r="A39" s="24"/>
    </row>
  </sheetData>
  <mergeCells count="6">
    <mergeCell ref="A1:D1"/>
    <mergeCell ref="A5:D5"/>
    <mergeCell ref="A21:D21"/>
    <mergeCell ref="A30:D30"/>
    <mergeCell ref="A2:D2"/>
    <mergeCell ref="A11:D11"/>
  </mergeCells>
  <pageMargins left="0.3" right="0.3" top="0.5" bottom="0.5" header="0.5" footer="0.5"/>
  <pageSetup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52"/>
  <sheetViews>
    <sheetView showGridLines="0" tabSelected="1" workbookViewId="0">
      <pane ySplit="4" topLeftCell="A5" activePane="bottomLeft" state="frozen"/>
      <selection pane="bottomLeft" sqref="A1:C1"/>
    </sheetView>
  </sheetViews>
  <sheetFormatPr baseColWidth="10" defaultColWidth="8.83203125" defaultRowHeight="15" x14ac:dyDescent="0.2"/>
  <cols>
    <col min="1" max="1" width="42" customWidth="1"/>
    <col min="2" max="3" width="16" customWidth="1"/>
  </cols>
  <sheetData>
    <row r="1" spans="1:3" ht="22" customHeight="1" x14ac:dyDescent="0.25">
      <c r="A1" s="32" t="s">
        <v>33</v>
      </c>
      <c r="B1" s="28"/>
      <c r="C1" s="28"/>
    </row>
    <row r="2" spans="1:3" ht="18" customHeight="1" x14ac:dyDescent="0.2">
      <c r="A2" s="34" t="s">
        <v>34</v>
      </c>
      <c r="B2" s="28"/>
      <c r="C2" s="28"/>
    </row>
    <row r="4" spans="1:3" ht="20" customHeight="1" x14ac:dyDescent="0.2">
      <c r="A4" s="23" t="s">
        <v>35</v>
      </c>
      <c r="B4" s="23" t="s">
        <v>3</v>
      </c>
      <c r="C4" s="23" t="s">
        <v>4</v>
      </c>
    </row>
    <row r="5" spans="1:3" x14ac:dyDescent="0.2">
      <c r="A5" s="33" t="s">
        <v>36</v>
      </c>
      <c r="B5" s="30"/>
      <c r="C5" s="30"/>
    </row>
    <row r="6" spans="1:3" x14ac:dyDescent="0.2">
      <c r="A6" s="33" t="s">
        <v>37</v>
      </c>
      <c r="B6" s="30"/>
      <c r="C6" s="30"/>
    </row>
    <row r="7" spans="1:3" x14ac:dyDescent="0.2">
      <c r="A7" t="s">
        <v>38</v>
      </c>
      <c r="B7" s="7">
        <v>186.5</v>
      </c>
      <c r="C7" s="7">
        <v>174.2</v>
      </c>
    </row>
    <row r="8" spans="1:3" x14ac:dyDescent="0.2">
      <c r="A8" t="s">
        <v>39</v>
      </c>
      <c r="B8" s="7">
        <v>12</v>
      </c>
      <c r="C8" s="7">
        <v>12</v>
      </c>
    </row>
    <row r="9" spans="1:3" x14ac:dyDescent="0.2">
      <c r="A9" t="s">
        <v>40</v>
      </c>
      <c r="B9" s="7">
        <v>96.8</v>
      </c>
      <c r="C9" s="7">
        <v>88.2</v>
      </c>
    </row>
    <row r="10" spans="1:3" x14ac:dyDescent="0.2">
      <c r="A10" t="s">
        <v>41</v>
      </c>
      <c r="B10" s="7">
        <v>54</v>
      </c>
      <c r="C10" s="7">
        <v>47.5</v>
      </c>
    </row>
    <row r="11" spans="1:3" x14ac:dyDescent="0.2">
      <c r="A11" t="s">
        <v>42</v>
      </c>
      <c r="B11" s="7">
        <v>1084</v>
      </c>
      <c r="C11" s="7">
        <v>1021</v>
      </c>
    </row>
    <row r="12" spans="1:3" x14ac:dyDescent="0.2">
      <c r="A12" t="s">
        <v>43</v>
      </c>
      <c r="B12" s="7">
        <v>122.5</v>
      </c>
      <c r="C12" s="7">
        <v>118.8</v>
      </c>
    </row>
    <row r="13" spans="1:3" x14ac:dyDescent="0.2">
      <c r="A13" t="s">
        <v>44</v>
      </c>
      <c r="B13" s="7">
        <v>24.6</v>
      </c>
      <c r="C13" s="7">
        <v>20.9</v>
      </c>
    </row>
    <row r="14" spans="1:3" ht="18" customHeight="1" x14ac:dyDescent="0.2">
      <c r="A14" s="25" t="s">
        <v>45</v>
      </c>
      <c r="B14" s="8">
        <f>SUM(B7:B13)</f>
        <v>1580.3999999999999</v>
      </c>
      <c r="C14" s="8">
        <f>SUM(C7:C13)</f>
        <v>1482.6000000000001</v>
      </c>
    </row>
    <row r="16" spans="1:3" x14ac:dyDescent="0.2">
      <c r="A16" s="33" t="s">
        <v>46</v>
      </c>
      <c r="B16" s="30"/>
      <c r="C16" s="30"/>
    </row>
    <row r="17" spans="1:3" x14ac:dyDescent="0.2">
      <c r="A17" t="s">
        <v>47</v>
      </c>
      <c r="B17" s="7">
        <v>315</v>
      </c>
      <c r="C17" s="7">
        <v>308</v>
      </c>
    </row>
    <row r="18" spans="1:3" x14ac:dyDescent="0.2">
      <c r="A18" t="s">
        <v>48</v>
      </c>
      <c r="B18" s="7">
        <v>88.4</v>
      </c>
      <c r="C18" s="7">
        <v>82.7</v>
      </c>
    </row>
    <row r="19" spans="1:3" x14ac:dyDescent="0.2">
      <c r="A19" t="s">
        <v>49</v>
      </c>
      <c r="B19" s="7">
        <v>16.8</v>
      </c>
      <c r="C19" s="7">
        <v>17.899999999999999</v>
      </c>
    </row>
    <row r="20" spans="1:3" x14ac:dyDescent="0.2">
      <c r="A20" t="s">
        <v>50</v>
      </c>
      <c r="B20" s="7">
        <v>9.6</v>
      </c>
      <c r="C20" s="7">
        <v>10.1</v>
      </c>
    </row>
    <row r="21" spans="1:3" x14ac:dyDescent="0.2">
      <c r="A21" t="s">
        <v>51</v>
      </c>
      <c r="B21" s="7">
        <v>4.2</v>
      </c>
      <c r="C21" s="7">
        <v>3.8</v>
      </c>
    </row>
    <row r="22" spans="1:3" x14ac:dyDescent="0.2">
      <c r="A22" t="s">
        <v>52</v>
      </c>
      <c r="B22" s="7">
        <v>26.5</v>
      </c>
      <c r="C22" s="7">
        <v>24.7</v>
      </c>
    </row>
    <row r="23" spans="1:3" ht="18" customHeight="1" x14ac:dyDescent="0.2">
      <c r="A23" s="25" t="s">
        <v>53</v>
      </c>
      <c r="B23" s="8">
        <f>SUM(B17:B22)</f>
        <v>460.5</v>
      </c>
      <c r="C23" s="8">
        <f>SUM(C17:C22)</f>
        <v>447.2</v>
      </c>
    </row>
    <row r="24" spans="1:3" ht="18" customHeight="1" x14ac:dyDescent="0.2">
      <c r="A24" s="26" t="s">
        <v>54</v>
      </c>
      <c r="B24" s="4">
        <f>B14+B23</f>
        <v>2040.8999999999999</v>
      </c>
      <c r="C24" s="4">
        <f>C14+C23</f>
        <v>1929.8000000000002</v>
      </c>
    </row>
    <row r="26" spans="1:3" x14ac:dyDescent="0.2">
      <c r="A26" s="33" t="s">
        <v>55</v>
      </c>
      <c r="B26" s="30"/>
      <c r="C26" s="30"/>
    </row>
    <row r="27" spans="1:3" x14ac:dyDescent="0.2">
      <c r="A27" s="33" t="s">
        <v>56</v>
      </c>
      <c r="B27" s="30"/>
      <c r="C27" s="30"/>
    </row>
    <row r="28" spans="1:3" x14ac:dyDescent="0.2">
      <c r="A28" t="s">
        <v>57</v>
      </c>
      <c r="B28" s="7">
        <v>214.5</v>
      </c>
      <c r="C28" s="7">
        <v>201.7</v>
      </c>
    </row>
    <row r="29" spans="1:3" x14ac:dyDescent="0.2">
      <c r="A29" t="s">
        <v>58</v>
      </c>
      <c r="B29" s="7">
        <v>148.80000000000001</v>
      </c>
      <c r="C29" s="7">
        <v>132.4</v>
      </c>
    </row>
    <row r="30" spans="1:3" x14ac:dyDescent="0.2">
      <c r="A30" t="s">
        <v>59</v>
      </c>
      <c r="B30" s="7">
        <v>286</v>
      </c>
      <c r="C30" s="7">
        <v>254.5</v>
      </c>
    </row>
    <row r="31" spans="1:3" x14ac:dyDescent="0.2">
      <c r="A31" t="s">
        <v>60</v>
      </c>
      <c r="B31" s="7">
        <v>63.7</v>
      </c>
      <c r="C31" s="7">
        <v>58.6</v>
      </c>
    </row>
    <row r="32" spans="1:3" x14ac:dyDescent="0.2">
      <c r="A32" t="s">
        <v>61</v>
      </c>
      <c r="B32" s="7">
        <v>6.2</v>
      </c>
      <c r="C32" s="7">
        <v>4.5</v>
      </c>
    </row>
    <row r="33" spans="1:3" x14ac:dyDescent="0.2">
      <c r="A33" t="s">
        <v>62</v>
      </c>
      <c r="B33" s="7">
        <v>2.8</v>
      </c>
      <c r="C33" s="7">
        <v>2.7</v>
      </c>
    </row>
    <row r="34" spans="1:3" x14ac:dyDescent="0.2">
      <c r="A34" t="s">
        <v>63</v>
      </c>
      <c r="B34" s="2">
        <f>'8. Debt Summary'!E11</f>
        <v>97</v>
      </c>
      <c r="C34" s="7">
        <v>88</v>
      </c>
    </row>
    <row r="35" spans="1:3" ht="18" customHeight="1" x14ac:dyDescent="0.2">
      <c r="A35" s="25" t="s">
        <v>64</v>
      </c>
      <c r="B35" s="8">
        <f>SUM(B28:B34)</f>
        <v>819</v>
      </c>
      <c r="C35" s="8">
        <f>SUM(C28:C34)</f>
        <v>742.40000000000009</v>
      </c>
    </row>
    <row r="37" spans="1:3" x14ac:dyDescent="0.2">
      <c r="A37" s="33" t="s">
        <v>65</v>
      </c>
      <c r="B37" s="30"/>
      <c r="C37" s="30"/>
    </row>
    <row r="38" spans="1:3" x14ac:dyDescent="0.2">
      <c r="A38" t="s">
        <v>66</v>
      </c>
      <c r="B38" s="2">
        <f>'8. Debt Summary'!F11</f>
        <v>624</v>
      </c>
      <c r="C38" s="7">
        <v>642</v>
      </c>
    </row>
    <row r="39" spans="1:3" x14ac:dyDescent="0.2">
      <c r="A39" t="s">
        <v>67</v>
      </c>
      <c r="B39" s="7">
        <v>14.5</v>
      </c>
      <c r="C39" s="7">
        <v>15.4</v>
      </c>
    </row>
    <row r="40" spans="1:3" x14ac:dyDescent="0.2">
      <c r="A40" t="s">
        <v>68</v>
      </c>
      <c r="B40" s="7">
        <v>98</v>
      </c>
      <c r="C40" s="7">
        <v>95</v>
      </c>
    </row>
    <row r="41" spans="1:3" x14ac:dyDescent="0.2">
      <c r="A41" t="s">
        <v>69</v>
      </c>
      <c r="B41" s="7">
        <v>22</v>
      </c>
      <c r="C41" s="7">
        <v>19.5</v>
      </c>
    </row>
    <row r="42" spans="1:3" ht="18" customHeight="1" x14ac:dyDescent="0.2">
      <c r="A42" s="25" t="s">
        <v>70</v>
      </c>
      <c r="B42" s="8">
        <f>SUM(B38:B41)</f>
        <v>758.5</v>
      </c>
      <c r="C42" s="8">
        <f>SUM(C38:C41)</f>
        <v>771.9</v>
      </c>
    </row>
    <row r="43" spans="1:3" ht="18" customHeight="1" x14ac:dyDescent="0.2">
      <c r="A43" s="26" t="s">
        <v>71</v>
      </c>
      <c r="B43" s="4">
        <f>B35+B42</f>
        <v>1577.5</v>
      </c>
      <c r="C43" s="4">
        <f>C35+C42</f>
        <v>1514.3000000000002</v>
      </c>
    </row>
    <row r="45" spans="1:3" x14ac:dyDescent="0.2">
      <c r="A45" s="33" t="s">
        <v>72</v>
      </c>
      <c r="B45" s="30"/>
      <c r="C45" s="30"/>
    </row>
    <row r="46" spans="1:3" x14ac:dyDescent="0.2">
      <c r="A46" t="s">
        <v>73</v>
      </c>
      <c r="B46" s="7">
        <v>320</v>
      </c>
      <c r="C46" s="7">
        <v>320</v>
      </c>
    </row>
    <row r="47" spans="1:3" x14ac:dyDescent="0.2">
      <c r="A47" t="s">
        <v>74</v>
      </c>
      <c r="B47" s="7">
        <v>24</v>
      </c>
      <c r="C47" s="7">
        <v>24</v>
      </c>
    </row>
    <row r="48" spans="1:3" x14ac:dyDescent="0.2">
      <c r="A48" t="s">
        <v>75</v>
      </c>
      <c r="B48" s="9">
        <f>B24-B43-B46-B47</f>
        <v>119.39999999999986</v>
      </c>
      <c r="C48" s="9">
        <f>C24-C43-C46-C47</f>
        <v>71.5</v>
      </c>
    </row>
    <row r="49" spans="1:3" ht="18" customHeight="1" x14ac:dyDescent="0.2">
      <c r="A49" s="26" t="s">
        <v>76</v>
      </c>
      <c r="B49" s="4">
        <f>SUM(B46:B48)</f>
        <v>463.39999999999986</v>
      </c>
      <c r="C49" s="4">
        <f>SUM(C46:C48)</f>
        <v>415.5</v>
      </c>
    </row>
    <row r="50" spans="1:3" ht="18" customHeight="1" x14ac:dyDescent="0.2">
      <c r="A50" s="26" t="s">
        <v>77</v>
      </c>
      <c r="B50" s="4">
        <f>B43+B49</f>
        <v>2040.8999999999999</v>
      </c>
      <c r="C50" s="4">
        <f>C43+C49</f>
        <v>1929.8000000000002</v>
      </c>
    </row>
    <row r="52" spans="1:3" x14ac:dyDescent="0.2">
      <c r="A52" t="s">
        <v>78</v>
      </c>
      <c r="B52" s="10">
        <f>B24-B50</f>
        <v>0</v>
      </c>
      <c r="C52" s="10">
        <f>C24-C50</f>
        <v>0</v>
      </c>
    </row>
  </sheetData>
  <mergeCells count="9">
    <mergeCell ref="A1:C1"/>
    <mergeCell ref="A5:C5"/>
    <mergeCell ref="A2:C2"/>
    <mergeCell ref="A37:C37"/>
    <mergeCell ref="A45:C45"/>
    <mergeCell ref="A6:C6"/>
    <mergeCell ref="A27:C27"/>
    <mergeCell ref="A26:C26"/>
    <mergeCell ref="A16:C16"/>
  </mergeCells>
  <pageMargins left="0.3" right="0.3" top="0.5" bottom="0.5" header="0.5" footer="0.5"/>
  <pageSetup fitToHeight="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41"/>
  <sheetViews>
    <sheetView showGridLines="0" workbookViewId="0">
      <pane ySplit="4" topLeftCell="A5" activePane="bottomLeft" state="frozen"/>
      <selection pane="bottomLeft" sqref="A1:C1"/>
    </sheetView>
  </sheetViews>
  <sheetFormatPr baseColWidth="10" defaultColWidth="8.83203125" defaultRowHeight="15" x14ac:dyDescent="0.2"/>
  <cols>
    <col min="1" max="1" width="44" customWidth="1"/>
    <col min="2" max="3" width="16" customWidth="1"/>
    <col min="8" max="8" width="18" customWidth="1"/>
    <col min="9" max="9" width="16" customWidth="1"/>
  </cols>
  <sheetData>
    <row r="1" spans="1:3" ht="22" customHeight="1" x14ac:dyDescent="0.25">
      <c r="A1" s="32" t="s">
        <v>79</v>
      </c>
      <c r="B1" s="28"/>
      <c r="C1" s="28"/>
    </row>
    <row r="2" spans="1:3" ht="18" customHeight="1" x14ac:dyDescent="0.2">
      <c r="A2" s="34" t="s">
        <v>1</v>
      </c>
      <c r="B2" s="28"/>
      <c r="C2" s="28"/>
    </row>
    <row r="4" spans="1:3" ht="20" customHeight="1" x14ac:dyDescent="0.2">
      <c r="A4" s="23" t="s">
        <v>80</v>
      </c>
      <c r="B4" s="23" t="s">
        <v>3</v>
      </c>
      <c r="C4" s="23" t="s">
        <v>5</v>
      </c>
    </row>
    <row r="5" spans="1:3" x14ac:dyDescent="0.2">
      <c r="A5" s="33" t="s">
        <v>81</v>
      </c>
      <c r="B5" s="30"/>
      <c r="C5" s="30"/>
    </row>
    <row r="6" spans="1:3" x14ac:dyDescent="0.2">
      <c r="A6" t="s">
        <v>31</v>
      </c>
      <c r="B6" s="2">
        <f>'1. Income Statement'!B35</f>
        <v>48.099999999999994</v>
      </c>
      <c r="C6" s="2">
        <f>'1. Income Statement'!D35</f>
        <v>102.3</v>
      </c>
    </row>
    <row r="7" spans="1:3" x14ac:dyDescent="0.2">
      <c r="A7" t="s">
        <v>24</v>
      </c>
      <c r="B7" s="2">
        <f>'1. Income Statement'!B27</f>
        <v>6.8</v>
      </c>
      <c r="C7" s="2">
        <f>'1. Income Statement'!D27</f>
        <v>25.6</v>
      </c>
    </row>
    <row r="8" spans="1:3" x14ac:dyDescent="0.2">
      <c r="A8" t="s">
        <v>82</v>
      </c>
      <c r="B8" s="7">
        <v>1.2</v>
      </c>
      <c r="C8" s="7">
        <v>3.5</v>
      </c>
    </row>
    <row r="9" spans="1:3" x14ac:dyDescent="0.2">
      <c r="A9" t="s">
        <v>40</v>
      </c>
      <c r="B9" s="2">
        <f>'2. Balance Sheet'!C9-'2. Balance Sheet'!B9</f>
        <v>-8.5999999999999943</v>
      </c>
      <c r="C9" s="7">
        <v>-24.8</v>
      </c>
    </row>
    <row r="10" spans="1:3" x14ac:dyDescent="0.2">
      <c r="A10" t="s">
        <v>41</v>
      </c>
      <c r="B10" s="2">
        <f>'2. Balance Sheet'!C10-'2. Balance Sheet'!B10</f>
        <v>-6.5</v>
      </c>
      <c r="C10" s="7">
        <v>-18</v>
      </c>
    </row>
    <row r="11" spans="1:3" x14ac:dyDescent="0.2">
      <c r="A11" t="s">
        <v>42</v>
      </c>
      <c r="B11" s="2">
        <f>'2. Balance Sheet'!C11-'2. Balance Sheet'!B11</f>
        <v>-63</v>
      </c>
      <c r="C11" s="7">
        <v>-129</v>
      </c>
    </row>
    <row r="12" spans="1:3" x14ac:dyDescent="0.2">
      <c r="A12" t="s">
        <v>43</v>
      </c>
      <c r="B12" s="2">
        <f>'2. Balance Sheet'!C12-'2. Balance Sheet'!B12</f>
        <v>-3.7000000000000028</v>
      </c>
      <c r="C12" s="7">
        <v>-12.5</v>
      </c>
    </row>
    <row r="13" spans="1:3" x14ac:dyDescent="0.2">
      <c r="A13" t="s">
        <v>44</v>
      </c>
      <c r="B13" s="2">
        <f>'2. Balance Sheet'!C13-'2. Balance Sheet'!B13</f>
        <v>-3.7000000000000028</v>
      </c>
      <c r="C13" s="7">
        <v>-6.6</v>
      </c>
    </row>
    <row r="14" spans="1:3" x14ac:dyDescent="0.2">
      <c r="A14" t="s">
        <v>57</v>
      </c>
      <c r="B14" s="2">
        <f>'2. Balance Sheet'!B29-'2. Balance Sheet'!C29</f>
        <v>16.400000000000006</v>
      </c>
      <c r="C14" s="7">
        <v>24.5</v>
      </c>
    </row>
    <row r="15" spans="1:3" x14ac:dyDescent="0.2">
      <c r="A15" t="s">
        <v>58</v>
      </c>
      <c r="B15" s="2">
        <f>'2. Balance Sheet'!B30-'2. Balance Sheet'!C30</f>
        <v>31.5</v>
      </c>
      <c r="C15" s="7">
        <v>30.8</v>
      </c>
    </row>
    <row r="16" spans="1:3" x14ac:dyDescent="0.2">
      <c r="A16" t="s">
        <v>59</v>
      </c>
      <c r="B16" s="2">
        <f>'2. Balance Sheet'!B31-'2. Balance Sheet'!C31</f>
        <v>5.1000000000000014</v>
      </c>
      <c r="C16" s="7">
        <v>66</v>
      </c>
    </row>
    <row r="17" spans="1:3" x14ac:dyDescent="0.2">
      <c r="A17" t="s">
        <v>60</v>
      </c>
      <c r="B17" s="2">
        <f>'2. Balance Sheet'!B32-'2. Balance Sheet'!C32</f>
        <v>1.7000000000000002</v>
      </c>
      <c r="C17" s="7">
        <v>11.7</v>
      </c>
    </row>
    <row r="18" spans="1:3" x14ac:dyDescent="0.2">
      <c r="A18" t="s">
        <v>61</v>
      </c>
      <c r="B18" s="2">
        <f>'2. Balance Sheet'!B33-'2. Balance Sheet'!C33</f>
        <v>9.9999999999999645E-2</v>
      </c>
      <c r="C18" s="7">
        <v>4.7</v>
      </c>
    </row>
    <row r="19" spans="1:3" ht="18" customHeight="1" x14ac:dyDescent="0.2">
      <c r="A19" s="25" t="s">
        <v>83</v>
      </c>
      <c r="B19" s="8">
        <f>SUM(B6:B18)</f>
        <v>25.4</v>
      </c>
      <c r="C19" s="8">
        <f>SUM(C6:C18)</f>
        <v>78.200000000000017</v>
      </c>
    </row>
    <row r="20" spans="1:3" x14ac:dyDescent="0.2">
      <c r="A20" t="s">
        <v>84</v>
      </c>
      <c r="B20" s="7">
        <v>-12.4</v>
      </c>
      <c r="C20" s="7">
        <v>-43</v>
      </c>
    </row>
    <row r="21" spans="1:3" x14ac:dyDescent="0.2">
      <c r="A21" t="s">
        <v>85</v>
      </c>
      <c r="B21" s="7">
        <v>-2</v>
      </c>
      <c r="C21" s="7">
        <v>-7.4</v>
      </c>
    </row>
    <row r="22" spans="1:3" ht="18" customHeight="1" x14ac:dyDescent="0.2">
      <c r="A22" s="26" t="s">
        <v>86</v>
      </c>
      <c r="B22" s="4">
        <f>SUM(B19:B21)</f>
        <v>10.999999999999998</v>
      </c>
      <c r="C22" s="4">
        <f>SUM(C19:C21)</f>
        <v>27.800000000000018</v>
      </c>
    </row>
    <row r="24" spans="1:3" x14ac:dyDescent="0.2">
      <c r="A24" s="33" t="s">
        <v>87</v>
      </c>
      <c r="B24" s="30"/>
      <c r="C24" s="30"/>
    </row>
    <row r="25" spans="1:3" x14ac:dyDescent="0.2">
      <c r="A25" t="s">
        <v>88</v>
      </c>
      <c r="B25" s="2">
        <f>'9. CapEx'!C12*-1</f>
        <v>-12.499999999999998</v>
      </c>
      <c r="C25" s="7">
        <v>-46.3</v>
      </c>
    </row>
    <row r="26" spans="1:3" x14ac:dyDescent="0.2">
      <c r="A26" t="s">
        <v>89</v>
      </c>
      <c r="B26" s="7">
        <v>-7</v>
      </c>
      <c r="C26" s="7">
        <v>-29.1</v>
      </c>
    </row>
    <row r="27" spans="1:3" x14ac:dyDescent="0.2">
      <c r="A27" t="s">
        <v>90</v>
      </c>
      <c r="B27" s="7">
        <v>-0.8</v>
      </c>
      <c r="C27" s="7">
        <v>-6.8</v>
      </c>
    </row>
    <row r="28" spans="1:3" ht="18" customHeight="1" x14ac:dyDescent="0.2">
      <c r="A28" s="26" t="s">
        <v>91</v>
      </c>
      <c r="B28" s="4">
        <f>SUM(B25:B27)</f>
        <v>-20.3</v>
      </c>
      <c r="C28" s="4">
        <f>SUM(C25:C27)</f>
        <v>-82.2</v>
      </c>
    </row>
    <row r="30" spans="1:3" x14ac:dyDescent="0.2">
      <c r="A30" s="33" t="s">
        <v>92</v>
      </c>
      <c r="B30" s="30"/>
      <c r="C30" s="30"/>
    </row>
    <row r="31" spans="1:3" x14ac:dyDescent="0.2">
      <c r="A31" t="s">
        <v>93</v>
      </c>
      <c r="B31" s="7">
        <v>37.200000000000003</v>
      </c>
      <c r="C31" s="7">
        <v>142</v>
      </c>
    </row>
    <row r="32" spans="1:3" x14ac:dyDescent="0.2">
      <c r="A32" t="s">
        <v>94</v>
      </c>
      <c r="B32" s="7">
        <v>-45</v>
      </c>
      <c r="C32" s="7">
        <v>-152</v>
      </c>
    </row>
    <row r="33" spans="1:3" x14ac:dyDescent="0.2">
      <c r="A33" t="s">
        <v>95</v>
      </c>
      <c r="B33" s="7">
        <v>-0.8</v>
      </c>
      <c r="C33" s="7">
        <v>-3.1</v>
      </c>
    </row>
    <row r="34" spans="1:3" x14ac:dyDescent="0.2">
      <c r="A34" t="s">
        <v>96</v>
      </c>
      <c r="B34" s="7">
        <v>18</v>
      </c>
      <c r="C34" s="7">
        <v>104.2</v>
      </c>
    </row>
    <row r="35" spans="1:3" x14ac:dyDescent="0.2">
      <c r="A35" t="s">
        <v>97</v>
      </c>
      <c r="B35" s="7">
        <v>-0.5</v>
      </c>
      <c r="C35" s="7">
        <v>-16.5</v>
      </c>
    </row>
    <row r="36" spans="1:3" ht="18" customHeight="1" x14ac:dyDescent="0.2">
      <c r="A36" s="26" t="s">
        <v>98</v>
      </c>
      <c r="B36" s="4">
        <f>SUM(B31:B35)</f>
        <v>8.9000000000000021</v>
      </c>
      <c r="C36" s="4">
        <f>SUM(C31:C35)</f>
        <v>74.600000000000009</v>
      </c>
    </row>
    <row r="37" spans="1:3" ht="18" customHeight="1" x14ac:dyDescent="0.2">
      <c r="A37" s="26" t="s">
        <v>99</v>
      </c>
      <c r="B37" s="4">
        <f>SUM(B22,B28,B36)</f>
        <v>-0.40000000000000036</v>
      </c>
      <c r="C37" s="4">
        <f>SUM(C22,C28,C36)</f>
        <v>20.200000000000024</v>
      </c>
    </row>
    <row r="38" spans="1:3" x14ac:dyDescent="0.2">
      <c r="A38" t="s">
        <v>100</v>
      </c>
      <c r="B38" s="2">
        <f>'2. Balance Sheet'!C7</f>
        <v>174.2</v>
      </c>
      <c r="C38" s="7">
        <v>149.1</v>
      </c>
    </row>
    <row r="39" spans="1:3" ht="18" customHeight="1" x14ac:dyDescent="0.2">
      <c r="A39" s="26" t="s">
        <v>101</v>
      </c>
      <c r="B39" s="4">
        <f>B38+B37</f>
        <v>173.79999999999998</v>
      </c>
      <c r="C39" s="4">
        <f>C38+C37</f>
        <v>169.3</v>
      </c>
    </row>
    <row r="41" spans="1:3" x14ac:dyDescent="0.2">
      <c r="A41" t="s">
        <v>102</v>
      </c>
      <c r="B41" s="10">
        <f>B39-'2. Balance Sheet'!B7</f>
        <v>-12.700000000000017</v>
      </c>
      <c r="C41" s="10">
        <f>C39-'2. Balance Sheet'!B7</f>
        <v>-17.199999999999989</v>
      </c>
    </row>
  </sheetData>
  <mergeCells count="5">
    <mergeCell ref="A1:C1"/>
    <mergeCell ref="A5:C5"/>
    <mergeCell ref="A30:C30"/>
    <mergeCell ref="A24:C24"/>
    <mergeCell ref="A2:C2"/>
  </mergeCells>
  <pageMargins left="0.3" right="0.3" top="0.5" bottom="0.5" header="0.5" footer="0.5"/>
  <pageSetup fitToHeight="0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3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46" customWidth="1"/>
    <col min="2" max="4" width="16" customWidth="1"/>
  </cols>
  <sheetData>
    <row r="1" spans="1:4" ht="22" customHeight="1" x14ac:dyDescent="0.25">
      <c r="A1" s="27" t="s">
        <v>103</v>
      </c>
      <c r="B1" s="28"/>
      <c r="C1" s="28"/>
      <c r="D1" s="28"/>
    </row>
    <row r="2" spans="1:4" ht="18" customHeight="1" x14ac:dyDescent="0.2">
      <c r="A2" s="31" t="s">
        <v>1</v>
      </c>
      <c r="B2" s="28"/>
      <c r="C2" s="28"/>
      <c r="D2" s="28"/>
    </row>
    <row r="3" spans="1:4" x14ac:dyDescent="0.2">
      <c r="A3" s="22"/>
    </row>
    <row r="4" spans="1:4" ht="20" customHeight="1" x14ac:dyDescent="0.2">
      <c r="A4" s="1" t="s">
        <v>104</v>
      </c>
      <c r="B4" s="23" t="s">
        <v>3</v>
      </c>
      <c r="C4" s="23" t="s">
        <v>4</v>
      </c>
      <c r="D4" s="23" t="s">
        <v>5</v>
      </c>
    </row>
    <row r="5" spans="1:4" x14ac:dyDescent="0.2">
      <c r="A5" s="29" t="s">
        <v>105</v>
      </c>
      <c r="B5" s="30"/>
      <c r="C5" s="30"/>
      <c r="D5" s="30"/>
    </row>
    <row r="6" spans="1:4" ht="16" x14ac:dyDescent="0.2">
      <c r="A6" s="24" t="s">
        <v>106</v>
      </c>
      <c r="B6" s="7">
        <v>128</v>
      </c>
      <c r="C6" s="7">
        <v>92</v>
      </c>
      <c r="D6" s="7">
        <v>358</v>
      </c>
    </row>
    <row r="7" spans="1:4" ht="16" x14ac:dyDescent="0.2">
      <c r="A7" s="24" t="s">
        <v>107</v>
      </c>
      <c r="B7" s="7">
        <v>79</v>
      </c>
      <c r="C7" s="7">
        <v>65</v>
      </c>
      <c r="D7" s="7">
        <v>238</v>
      </c>
    </row>
    <row r="8" spans="1:4" ht="16" x14ac:dyDescent="0.2">
      <c r="A8" s="24" t="s">
        <v>108</v>
      </c>
      <c r="B8" s="7">
        <v>28</v>
      </c>
      <c r="C8" s="7">
        <v>23</v>
      </c>
      <c r="D8" s="7">
        <v>94</v>
      </c>
    </row>
    <row r="9" spans="1:4" ht="18" customHeight="1" x14ac:dyDescent="0.2">
      <c r="A9" s="5" t="s">
        <v>109</v>
      </c>
      <c r="B9" s="8">
        <f>SUM(B6:B8)</f>
        <v>235</v>
      </c>
      <c r="C9" s="8">
        <f>SUM(C6:C8)</f>
        <v>180</v>
      </c>
      <c r="D9" s="8">
        <f>SUM(D6:D8)</f>
        <v>690</v>
      </c>
    </row>
    <row r="10" spans="1:4" x14ac:dyDescent="0.2">
      <c r="A10" s="24"/>
    </row>
    <row r="11" spans="1:4" x14ac:dyDescent="0.2">
      <c r="A11" s="29" t="s">
        <v>110</v>
      </c>
      <c r="B11" s="30"/>
      <c r="C11" s="30"/>
      <c r="D11" s="30"/>
    </row>
    <row r="12" spans="1:4" ht="16" x14ac:dyDescent="0.2">
      <c r="A12" s="24" t="s">
        <v>111</v>
      </c>
      <c r="B12" s="7">
        <v>105</v>
      </c>
      <c r="C12" s="7">
        <v>96</v>
      </c>
      <c r="D12" s="7">
        <v>356</v>
      </c>
    </row>
    <row r="13" spans="1:4" ht="16" x14ac:dyDescent="0.2">
      <c r="A13" s="24" t="s">
        <v>112</v>
      </c>
      <c r="B13" s="7">
        <v>60</v>
      </c>
      <c r="C13" s="7">
        <v>54</v>
      </c>
      <c r="D13" s="7">
        <v>204</v>
      </c>
    </row>
    <row r="14" spans="1:4" ht="18" customHeight="1" x14ac:dyDescent="0.2">
      <c r="A14" s="5" t="s">
        <v>113</v>
      </c>
      <c r="B14" s="8">
        <f>SUM(B12:B13)</f>
        <v>165</v>
      </c>
      <c r="C14" s="8">
        <f>SUM(C12:C13)</f>
        <v>150</v>
      </c>
      <c r="D14" s="8">
        <f>SUM(D12:D13)</f>
        <v>560</v>
      </c>
    </row>
    <row r="15" spans="1:4" x14ac:dyDescent="0.2">
      <c r="A15" s="24"/>
    </row>
    <row r="16" spans="1:4" x14ac:dyDescent="0.2">
      <c r="A16" s="29" t="s">
        <v>114</v>
      </c>
      <c r="B16" s="30"/>
      <c r="C16" s="30"/>
      <c r="D16" s="30"/>
    </row>
    <row r="17" spans="1:4" ht="16" x14ac:dyDescent="0.2">
      <c r="A17" s="24" t="s">
        <v>115</v>
      </c>
      <c r="B17" s="7">
        <v>18.5</v>
      </c>
      <c r="C17" s="7">
        <v>17.2</v>
      </c>
      <c r="D17" s="7">
        <v>69.3</v>
      </c>
    </row>
    <row r="18" spans="1:4" ht="16" x14ac:dyDescent="0.2">
      <c r="A18" s="24" t="s">
        <v>116</v>
      </c>
      <c r="B18" s="7">
        <v>26</v>
      </c>
      <c r="C18" s="7">
        <v>20</v>
      </c>
      <c r="D18" s="7">
        <v>81.5</v>
      </c>
    </row>
    <row r="19" spans="1:4" ht="16" x14ac:dyDescent="0.2">
      <c r="A19" s="24" t="s">
        <v>117</v>
      </c>
      <c r="B19" s="7">
        <v>5.8</v>
      </c>
      <c r="C19" s="7">
        <v>4.9000000000000004</v>
      </c>
      <c r="D19" s="7">
        <v>18.2</v>
      </c>
    </row>
    <row r="20" spans="1:4" ht="16" x14ac:dyDescent="0.2">
      <c r="A20" s="24" t="s">
        <v>118</v>
      </c>
      <c r="B20" s="7">
        <v>2.7</v>
      </c>
      <c r="C20" s="7">
        <v>1.9</v>
      </c>
      <c r="D20" s="7">
        <v>7.5</v>
      </c>
    </row>
    <row r="21" spans="1:4" ht="18" customHeight="1" x14ac:dyDescent="0.2">
      <c r="A21" s="5" t="s">
        <v>119</v>
      </c>
      <c r="B21" s="8">
        <f>SUM(B17:B20)</f>
        <v>53</v>
      </c>
      <c r="C21" s="8">
        <f>SUM(C17:C20)</f>
        <v>44</v>
      </c>
      <c r="D21" s="8">
        <f>SUM(D17:D20)</f>
        <v>176.5</v>
      </c>
    </row>
    <row r="22" spans="1:4" x14ac:dyDescent="0.2">
      <c r="A22" s="24"/>
    </row>
    <row r="23" spans="1:4" ht="18" customHeight="1" x14ac:dyDescent="0.2">
      <c r="A23" s="3" t="s">
        <v>120</v>
      </c>
      <c r="B23" s="4">
        <f>SUM(B9,B14,B21)</f>
        <v>453</v>
      </c>
      <c r="C23" s="4">
        <f>SUM(C9,C14,C21)</f>
        <v>374</v>
      </c>
      <c r="D23" s="4">
        <f>SUM(D9,D14,D21)</f>
        <v>1426.5</v>
      </c>
    </row>
  </sheetData>
  <mergeCells count="5">
    <mergeCell ref="A1:D1"/>
    <mergeCell ref="A5:D5"/>
    <mergeCell ref="A11:D11"/>
    <mergeCell ref="A16:D16"/>
    <mergeCell ref="A2:D2"/>
  </mergeCells>
  <pageMargins left="0.3" right="0.3" top="0.5" bottom="0.5" header="0.5" footer="0.5"/>
  <pageSetup fitToHeight="0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34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50" customWidth="1"/>
    <col min="2" max="4" width="16" customWidth="1"/>
  </cols>
  <sheetData>
    <row r="1" spans="1:4" ht="22" customHeight="1" x14ac:dyDescent="0.25">
      <c r="A1" s="27" t="s">
        <v>121</v>
      </c>
      <c r="B1" s="28"/>
      <c r="C1" s="28"/>
      <c r="D1" s="28"/>
    </row>
    <row r="2" spans="1:4" ht="18" customHeight="1" x14ac:dyDescent="0.2">
      <c r="A2" s="31" t="s">
        <v>1</v>
      </c>
      <c r="B2" s="28"/>
      <c r="C2" s="28"/>
      <c r="D2" s="28"/>
    </row>
    <row r="3" spans="1:4" x14ac:dyDescent="0.2">
      <c r="A3" s="22"/>
    </row>
    <row r="4" spans="1:4" ht="20" customHeight="1" x14ac:dyDescent="0.2">
      <c r="A4" s="1" t="s">
        <v>122</v>
      </c>
      <c r="B4" s="23" t="s">
        <v>3</v>
      </c>
      <c r="C4" s="23" t="s">
        <v>4</v>
      </c>
      <c r="D4" s="23" t="s">
        <v>5</v>
      </c>
    </row>
    <row r="5" spans="1:4" x14ac:dyDescent="0.2">
      <c r="A5" s="29" t="s">
        <v>123</v>
      </c>
      <c r="B5" s="30"/>
      <c r="C5" s="30"/>
      <c r="D5" s="30"/>
    </row>
    <row r="6" spans="1:4" ht="16" x14ac:dyDescent="0.2">
      <c r="A6" s="24" t="s">
        <v>11</v>
      </c>
      <c r="B6" s="7">
        <v>196</v>
      </c>
      <c r="C6" s="7">
        <v>153</v>
      </c>
      <c r="D6" s="7">
        <v>618</v>
      </c>
    </row>
    <row r="7" spans="1:4" ht="16" x14ac:dyDescent="0.2">
      <c r="A7" s="24" t="s">
        <v>12</v>
      </c>
      <c r="B7" s="7">
        <v>56</v>
      </c>
      <c r="C7" s="7">
        <v>57</v>
      </c>
      <c r="D7" s="7">
        <v>167</v>
      </c>
    </row>
    <row r="8" spans="1:4" ht="16" x14ac:dyDescent="0.2">
      <c r="A8" s="24" t="s">
        <v>13</v>
      </c>
      <c r="B8" s="7">
        <v>38</v>
      </c>
      <c r="C8" s="7">
        <v>35</v>
      </c>
      <c r="D8" s="7">
        <v>132</v>
      </c>
    </row>
    <row r="9" spans="1:4" ht="16" x14ac:dyDescent="0.2">
      <c r="A9" s="24" t="s">
        <v>14</v>
      </c>
      <c r="B9" s="7">
        <v>19.5</v>
      </c>
      <c r="C9" s="7">
        <v>15</v>
      </c>
      <c r="D9" s="7">
        <v>57.4</v>
      </c>
    </row>
    <row r="10" spans="1:4" ht="16" x14ac:dyDescent="0.2">
      <c r="A10" s="24" t="s">
        <v>15</v>
      </c>
      <c r="B10" s="7">
        <v>11.8</v>
      </c>
      <c r="C10" s="7">
        <v>10.5</v>
      </c>
      <c r="D10" s="7">
        <v>41.7</v>
      </c>
    </row>
    <row r="11" spans="1:4" ht="18" customHeight="1" x14ac:dyDescent="0.2">
      <c r="A11" s="5" t="s">
        <v>124</v>
      </c>
      <c r="B11" s="8">
        <f>SUM(B6:B10)</f>
        <v>321.3</v>
      </c>
      <c r="C11" s="8">
        <f>SUM(C6:C10)</f>
        <v>270.5</v>
      </c>
      <c r="D11" s="8">
        <f>SUM(D6:D10)</f>
        <v>1016.1</v>
      </c>
    </row>
    <row r="12" spans="1:4" x14ac:dyDescent="0.2">
      <c r="A12" s="24"/>
    </row>
    <row r="13" spans="1:4" x14ac:dyDescent="0.2">
      <c r="A13" s="29" t="s">
        <v>125</v>
      </c>
      <c r="B13" s="30"/>
      <c r="C13" s="30"/>
      <c r="D13" s="30"/>
    </row>
    <row r="14" spans="1:4" ht="16" x14ac:dyDescent="0.2">
      <c r="A14" s="24" t="s">
        <v>126</v>
      </c>
      <c r="B14" s="7">
        <v>6.2</v>
      </c>
      <c r="C14" s="7">
        <v>5.3</v>
      </c>
      <c r="D14" s="7">
        <v>22</v>
      </c>
    </row>
    <row r="15" spans="1:4" ht="16" x14ac:dyDescent="0.2">
      <c r="A15" s="24" t="s">
        <v>127</v>
      </c>
      <c r="B15" s="7">
        <v>7.3</v>
      </c>
      <c r="C15" s="7">
        <v>6.1</v>
      </c>
      <c r="D15" s="7">
        <v>26.7</v>
      </c>
    </row>
    <row r="16" spans="1:4" ht="16" x14ac:dyDescent="0.2">
      <c r="A16" s="24" t="s">
        <v>128</v>
      </c>
      <c r="B16" s="7">
        <v>3.1</v>
      </c>
      <c r="C16" s="7">
        <v>2.7</v>
      </c>
      <c r="D16" s="7">
        <v>10.5</v>
      </c>
    </row>
    <row r="17" spans="1:4" ht="16" x14ac:dyDescent="0.2">
      <c r="A17" s="24" t="s">
        <v>129</v>
      </c>
      <c r="B17" s="7">
        <v>2.2000000000000002</v>
      </c>
      <c r="C17" s="7">
        <v>1.8</v>
      </c>
      <c r="D17" s="7">
        <v>8.6999999999999993</v>
      </c>
    </row>
    <row r="18" spans="1:4" ht="18" customHeight="1" x14ac:dyDescent="0.2">
      <c r="A18" s="5" t="s">
        <v>130</v>
      </c>
      <c r="B18" s="8">
        <f>SUM(B14:B17)</f>
        <v>18.8</v>
      </c>
      <c r="C18" s="8">
        <f>SUM(C14:C17)</f>
        <v>15.899999999999999</v>
      </c>
      <c r="D18" s="8">
        <f>SUM(D14:D17)</f>
        <v>67.900000000000006</v>
      </c>
    </row>
    <row r="19" spans="1:4" x14ac:dyDescent="0.2">
      <c r="A19" s="24"/>
    </row>
    <row r="20" spans="1:4" x14ac:dyDescent="0.2">
      <c r="A20" s="29" t="s">
        <v>131</v>
      </c>
      <c r="B20" s="30"/>
      <c r="C20" s="30"/>
      <c r="D20" s="30"/>
    </row>
    <row r="21" spans="1:4" ht="16" x14ac:dyDescent="0.2">
      <c r="A21" s="24" t="s">
        <v>132</v>
      </c>
      <c r="B21" s="7">
        <v>26.5</v>
      </c>
      <c r="C21" s="7">
        <v>24.7</v>
      </c>
      <c r="D21" s="7">
        <v>101.8</v>
      </c>
    </row>
    <row r="22" spans="1:4" ht="16" x14ac:dyDescent="0.2">
      <c r="A22" s="24" t="s">
        <v>133</v>
      </c>
      <c r="B22" s="7">
        <v>5.8</v>
      </c>
      <c r="C22" s="7">
        <v>5.5</v>
      </c>
      <c r="D22" s="7">
        <v>22.1</v>
      </c>
    </row>
    <row r="23" spans="1:4" ht="16" x14ac:dyDescent="0.2">
      <c r="A23" s="24" t="s">
        <v>134</v>
      </c>
      <c r="B23" s="7">
        <v>4.5999999999999996</v>
      </c>
      <c r="C23" s="7">
        <v>3.9</v>
      </c>
      <c r="D23" s="7">
        <v>16.7</v>
      </c>
    </row>
    <row r="24" spans="1:4" ht="16" x14ac:dyDescent="0.2">
      <c r="A24" s="24" t="s">
        <v>135</v>
      </c>
      <c r="B24" s="7">
        <v>2.2999999999999998</v>
      </c>
      <c r="C24" s="7">
        <v>2.2000000000000002</v>
      </c>
      <c r="D24" s="7">
        <v>8.8000000000000007</v>
      </c>
    </row>
    <row r="25" spans="1:4" ht="16" x14ac:dyDescent="0.2">
      <c r="A25" s="24" t="s">
        <v>136</v>
      </c>
      <c r="B25" s="7">
        <v>2.1</v>
      </c>
      <c r="C25" s="7">
        <v>1.9</v>
      </c>
      <c r="D25" s="7">
        <v>7.7</v>
      </c>
    </row>
    <row r="26" spans="1:4" ht="16" x14ac:dyDescent="0.2">
      <c r="A26" s="24" t="s">
        <v>137</v>
      </c>
      <c r="B26" s="7">
        <v>1.2</v>
      </c>
      <c r="C26" s="7">
        <v>1.1000000000000001</v>
      </c>
      <c r="D26" s="7">
        <v>4.2</v>
      </c>
    </row>
    <row r="27" spans="1:4" ht="18" customHeight="1" x14ac:dyDescent="0.2">
      <c r="A27" s="5" t="s">
        <v>138</v>
      </c>
      <c r="B27" s="8">
        <f>SUM(B21:B26)</f>
        <v>42.5</v>
      </c>
      <c r="C27" s="8">
        <f>SUM(C21:C26)</f>
        <v>39.300000000000004</v>
      </c>
      <c r="D27" s="8">
        <f>SUM(D21:D26)</f>
        <v>161.29999999999998</v>
      </c>
    </row>
    <row r="28" spans="1:4" x14ac:dyDescent="0.2">
      <c r="A28" s="24"/>
    </row>
    <row r="29" spans="1:4" x14ac:dyDescent="0.2">
      <c r="A29" s="29" t="s">
        <v>139</v>
      </c>
      <c r="B29" s="30"/>
      <c r="C29" s="30"/>
      <c r="D29" s="30"/>
    </row>
    <row r="30" spans="1:4" ht="16" x14ac:dyDescent="0.2">
      <c r="A30" s="24" t="s">
        <v>24</v>
      </c>
      <c r="B30" s="7">
        <v>6.8</v>
      </c>
      <c r="C30" s="7">
        <v>6.4</v>
      </c>
      <c r="D30" s="7">
        <v>25.6</v>
      </c>
    </row>
    <row r="31" spans="1:4" ht="18" customHeight="1" x14ac:dyDescent="0.2">
      <c r="A31" s="5" t="s">
        <v>24</v>
      </c>
      <c r="B31" s="8">
        <f>SUM(B30:B30)</f>
        <v>6.8</v>
      </c>
      <c r="C31" s="8">
        <f>SUM(C30:C30)</f>
        <v>6.4</v>
      </c>
      <c r="D31" s="8">
        <f>SUM(D30:D30)</f>
        <v>25.6</v>
      </c>
    </row>
    <row r="32" spans="1:4" x14ac:dyDescent="0.2">
      <c r="A32" s="24"/>
    </row>
    <row r="33" spans="1:4" ht="18" customHeight="1" x14ac:dyDescent="0.2">
      <c r="A33" s="5" t="s">
        <v>21</v>
      </c>
      <c r="B33" s="8">
        <f>B18+B27</f>
        <v>61.3</v>
      </c>
      <c r="C33" s="8">
        <f>C18+C27</f>
        <v>55.2</v>
      </c>
      <c r="D33" s="8">
        <f>D18+D27</f>
        <v>229.2</v>
      </c>
    </row>
    <row r="34" spans="1:4" ht="18" customHeight="1" x14ac:dyDescent="0.2">
      <c r="A34" s="3" t="s">
        <v>140</v>
      </c>
      <c r="B34" s="4">
        <f>B33+B31</f>
        <v>68.099999999999994</v>
      </c>
      <c r="C34" s="4">
        <f>C33+C31</f>
        <v>61.6</v>
      </c>
      <c r="D34" s="4">
        <f>D33+D31</f>
        <v>254.79999999999998</v>
      </c>
    </row>
  </sheetData>
  <mergeCells count="6">
    <mergeCell ref="A1:D1"/>
    <mergeCell ref="A5:D5"/>
    <mergeCell ref="A20:D20"/>
    <mergeCell ref="A29:D29"/>
    <mergeCell ref="A2:D2"/>
    <mergeCell ref="A13:D13"/>
  </mergeCells>
  <pageMargins left="0.3" right="0.3" top="0.5" bottom="0.5" header="0.5" footer="0.5"/>
  <pageSetup fitToHeight="0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4"/>
  <sheetViews>
    <sheetView showGridLines="0"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36" customWidth="1"/>
    <col min="2" max="5" width="14" customWidth="1"/>
    <col min="6" max="6" width="18" customWidth="1"/>
    <col min="7" max="7" width="20" customWidth="1"/>
  </cols>
  <sheetData>
    <row r="1" spans="1:7" ht="22" customHeight="1" x14ac:dyDescent="0.25">
      <c r="A1" s="27" t="s">
        <v>141</v>
      </c>
      <c r="B1" s="28"/>
      <c r="C1" s="28"/>
      <c r="D1" s="28"/>
      <c r="E1" s="28"/>
      <c r="F1" s="28"/>
      <c r="G1" s="28"/>
    </row>
    <row r="2" spans="1:7" ht="18" customHeight="1" x14ac:dyDescent="0.2">
      <c r="A2" s="31" t="s">
        <v>142</v>
      </c>
      <c r="B2" s="28"/>
      <c r="C2" s="28"/>
      <c r="D2" s="28"/>
      <c r="E2" s="28"/>
      <c r="F2" s="28"/>
      <c r="G2" s="28"/>
    </row>
    <row r="3" spans="1:7" x14ac:dyDescent="0.2">
      <c r="A3" s="22"/>
    </row>
    <row r="4" spans="1:7" ht="20" customHeight="1" x14ac:dyDescent="0.2">
      <c r="A4" s="1" t="s">
        <v>143</v>
      </c>
      <c r="B4" s="23" t="s">
        <v>6</v>
      </c>
      <c r="C4" s="23" t="s">
        <v>144</v>
      </c>
      <c r="D4" s="23" t="s">
        <v>16</v>
      </c>
      <c r="E4" s="23" t="s">
        <v>17</v>
      </c>
      <c r="F4" s="23" t="s">
        <v>145</v>
      </c>
      <c r="G4" s="23" t="s">
        <v>146</v>
      </c>
    </row>
    <row r="5" spans="1:7" x14ac:dyDescent="0.2">
      <c r="A5" s="29" t="s">
        <v>147</v>
      </c>
      <c r="B5" s="30"/>
      <c r="C5" s="30"/>
      <c r="D5" s="30"/>
      <c r="E5" s="30"/>
      <c r="F5" s="30"/>
      <c r="G5" s="30"/>
    </row>
    <row r="6" spans="1:7" ht="16" x14ac:dyDescent="0.2">
      <c r="A6" s="24" t="s">
        <v>148</v>
      </c>
      <c r="B6" s="7">
        <v>176.5</v>
      </c>
      <c r="C6" s="7">
        <v>124.2</v>
      </c>
      <c r="D6" s="9">
        <f>B6-C6</f>
        <v>52.3</v>
      </c>
      <c r="E6" s="11">
        <f t="shared" ref="E6:E11" si="0">IFERROR(D6/B6,0)</f>
        <v>0.29631728045325778</v>
      </c>
      <c r="F6" s="12">
        <v>62</v>
      </c>
      <c r="G6" s="7">
        <v>390</v>
      </c>
    </row>
    <row r="7" spans="1:7" ht="16" x14ac:dyDescent="0.2">
      <c r="A7" s="24" t="s">
        <v>149</v>
      </c>
      <c r="B7" s="7">
        <v>131.80000000000001</v>
      </c>
      <c r="C7" s="7">
        <v>95.7</v>
      </c>
      <c r="D7" s="9">
        <f>B7-C7</f>
        <v>36.100000000000009</v>
      </c>
      <c r="E7" s="11">
        <f t="shared" si="0"/>
        <v>0.27389984825493174</v>
      </c>
      <c r="F7" s="12">
        <v>24</v>
      </c>
      <c r="G7" s="7">
        <v>280</v>
      </c>
    </row>
    <row r="8" spans="1:7" ht="16" x14ac:dyDescent="0.2">
      <c r="A8" s="24" t="s">
        <v>150</v>
      </c>
      <c r="B8" s="7">
        <v>74.2</v>
      </c>
      <c r="C8" s="7">
        <v>54.8</v>
      </c>
      <c r="D8" s="9">
        <f>B8-C8</f>
        <v>19.400000000000006</v>
      </c>
      <c r="E8" s="11">
        <f t="shared" si="0"/>
        <v>0.26145552560646906</v>
      </c>
      <c r="F8" s="12">
        <v>18</v>
      </c>
      <c r="G8" s="7">
        <v>145</v>
      </c>
    </row>
    <row r="9" spans="1:7" ht="16" x14ac:dyDescent="0.2">
      <c r="A9" s="24" t="s">
        <v>151</v>
      </c>
      <c r="B9" s="7">
        <v>52.5</v>
      </c>
      <c r="C9" s="7">
        <v>36.9</v>
      </c>
      <c r="D9" s="9">
        <f>B9-C9</f>
        <v>15.600000000000001</v>
      </c>
      <c r="E9" s="11">
        <f t="shared" si="0"/>
        <v>0.29714285714285715</v>
      </c>
      <c r="F9" s="12">
        <v>14</v>
      </c>
      <c r="G9" s="7">
        <v>118</v>
      </c>
    </row>
    <row r="10" spans="1:7" ht="16" x14ac:dyDescent="0.2">
      <c r="A10" s="24" t="s">
        <v>152</v>
      </c>
      <c r="B10" s="7">
        <v>18</v>
      </c>
      <c r="C10" s="7">
        <v>9.6999999999999993</v>
      </c>
      <c r="D10" s="9">
        <f>B10-C10</f>
        <v>8.3000000000000007</v>
      </c>
      <c r="E10" s="11">
        <f t="shared" si="0"/>
        <v>0.46111111111111114</v>
      </c>
      <c r="F10" s="12">
        <v>91</v>
      </c>
      <c r="G10" s="7">
        <v>26</v>
      </c>
    </row>
    <row r="11" spans="1:7" ht="18" customHeight="1" x14ac:dyDescent="0.2">
      <c r="A11" s="3" t="s">
        <v>153</v>
      </c>
      <c r="B11" s="4">
        <f>SUM(B6:B10)</f>
        <v>453</v>
      </c>
      <c r="C11" s="4">
        <f>SUM(C6:C10)</f>
        <v>321.29999999999995</v>
      </c>
      <c r="D11" s="4">
        <f>SUM(D6:D10)</f>
        <v>131.70000000000002</v>
      </c>
      <c r="E11" s="13">
        <f t="shared" si="0"/>
        <v>0.29072847682119207</v>
      </c>
      <c r="F11" s="14">
        <f>SUM(F6:F10)</f>
        <v>209</v>
      </c>
      <c r="G11" s="4">
        <f>SUM(G6:G10)</f>
        <v>959</v>
      </c>
    </row>
    <row r="12" spans="1:7" x14ac:dyDescent="0.2">
      <c r="A12" s="24"/>
    </row>
    <row r="13" spans="1:7" ht="16" x14ac:dyDescent="0.2">
      <c r="A13" s="24" t="s">
        <v>154</v>
      </c>
      <c r="B13" s="10">
        <f>B11-'1. Income Statement'!B9</f>
        <v>0</v>
      </c>
      <c r="C13" s="10"/>
    </row>
    <row r="14" spans="1:7" ht="16" x14ac:dyDescent="0.2">
      <c r="A14" s="24" t="s">
        <v>155</v>
      </c>
      <c r="B14" s="10">
        <f>C11-'1. Income Statement'!B17</f>
        <v>0</v>
      </c>
    </row>
  </sheetData>
  <mergeCells count="3">
    <mergeCell ref="A2:G2"/>
    <mergeCell ref="A1:G1"/>
    <mergeCell ref="A5:G5"/>
  </mergeCells>
  <pageMargins left="0.3" right="0.3" top="0.5" bottom="0.5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39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42" customWidth="1"/>
    <col min="2" max="4" width="16" customWidth="1"/>
  </cols>
  <sheetData>
    <row r="1" spans="1:4" ht="22" customHeight="1" x14ac:dyDescent="0.25">
      <c r="A1" s="27" t="s">
        <v>156</v>
      </c>
      <c r="B1" s="28"/>
      <c r="C1" s="28"/>
      <c r="D1" s="28"/>
    </row>
    <row r="2" spans="1:4" ht="18" customHeight="1" x14ac:dyDescent="0.2">
      <c r="A2" s="31" t="s">
        <v>157</v>
      </c>
      <c r="B2" s="28"/>
      <c r="C2" s="28"/>
      <c r="D2" s="28"/>
    </row>
    <row r="3" spans="1:4" x14ac:dyDescent="0.2">
      <c r="A3" s="22"/>
    </row>
    <row r="4" spans="1:4" ht="20" customHeight="1" x14ac:dyDescent="0.2">
      <c r="A4" s="1" t="s">
        <v>158</v>
      </c>
      <c r="B4" s="23" t="s">
        <v>3</v>
      </c>
      <c r="C4" s="23" t="s">
        <v>4</v>
      </c>
      <c r="D4" s="23" t="s">
        <v>159</v>
      </c>
    </row>
    <row r="5" spans="1:4" x14ac:dyDescent="0.2">
      <c r="A5" s="29" t="s">
        <v>160</v>
      </c>
      <c r="B5" s="30"/>
      <c r="C5" s="30"/>
      <c r="D5" s="30"/>
    </row>
    <row r="6" spans="1:4" ht="16" x14ac:dyDescent="0.2">
      <c r="A6" s="24" t="s">
        <v>40</v>
      </c>
      <c r="B6" s="2">
        <f>'2. Balance Sheet'!B9</f>
        <v>96.8</v>
      </c>
      <c r="C6" s="2">
        <f>'2. Balance Sheet'!C9</f>
        <v>88.2</v>
      </c>
      <c r="D6" s="9">
        <f>B6-C6</f>
        <v>8.5999999999999943</v>
      </c>
    </row>
    <row r="7" spans="1:4" ht="16" x14ac:dyDescent="0.2">
      <c r="A7" s="24" t="s">
        <v>41</v>
      </c>
      <c r="B7" s="2">
        <f>'2. Balance Sheet'!B10</f>
        <v>54</v>
      </c>
      <c r="C7" s="2">
        <f>'2. Balance Sheet'!C10</f>
        <v>47.5</v>
      </c>
      <c r="D7" s="9">
        <f>B7-C7</f>
        <v>6.5</v>
      </c>
    </row>
    <row r="8" spans="1:4" ht="16" x14ac:dyDescent="0.2">
      <c r="A8" s="24" t="s">
        <v>42</v>
      </c>
      <c r="B8" s="2">
        <f>'2. Balance Sheet'!B11</f>
        <v>1084</v>
      </c>
      <c r="C8" s="2">
        <f>'2. Balance Sheet'!C11</f>
        <v>1021</v>
      </c>
      <c r="D8" s="9">
        <f>B8-C8</f>
        <v>63</v>
      </c>
    </row>
    <row r="9" spans="1:4" ht="16" x14ac:dyDescent="0.2">
      <c r="A9" s="24" t="s">
        <v>43</v>
      </c>
      <c r="B9" s="2">
        <f>'2. Balance Sheet'!B12</f>
        <v>122.5</v>
      </c>
      <c r="C9" s="2">
        <f>'2. Balance Sheet'!C12</f>
        <v>118.8</v>
      </c>
      <c r="D9" s="9">
        <f>B9-C9</f>
        <v>3.7000000000000028</v>
      </c>
    </row>
    <row r="10" spans="1:4" ht="16" x14ac:dyDescent="0.2">
      <c r="A10" s="24" t="s">
        <v>44</v>
      </c>
      <c r="B10" s="2">
        <f>'2. Balance Sheet'!B13</f>
        <v>24.6</v>
      </c>
      <c r="C10" s="2">
        <f>'2. Balance Sheet'!C13</f>
        <v>20.9</v>
      </c>
      <c r="D10" s="9">
        <f>B10-C10</f>
        <v>3.7000000000000028</v>
      </c>
    </row>
    <row r="11" spans="1:4" ht="18" customHeight="1" x14ac:dyDescent="0.2">
      <c r="A11" s="5" t="s">
        <v>161</v>
      </c>
      <c r="B11" s="8">
        <f>SUM(B6:B10)</f>
        <v>1381.8999999999999</v>
      </c>
      <c r="C11" s="8">
        <f>SUM(C6:C10)</f>
        <v>1296.4000000000001</v>
      </c>
      <c r="D11" s="8">
        <f>SUM(D6:D10)</f>
        <v>85.5</v>
      </c>
    </row>
    <row r="12" spans="1:4" x14ac:dyDescent="0.2">
      <c r="A12" s="24"/>
    </row>
    <row r="13" spans="1:4" x14ac:dyDescent="0.2">
      <c r="A13" s="29" t="s">
        <v>162</v>
      </c>
      <c r="B13" s="30"/>
      <c r="C13" s="30"/>
      <c r="D13" s="30"/>
    </row>
    <row r="14" spans="1:4" ht="16" x14ac:dyDescent="0.2">
      <c r="A14" s="24" t="s">
        <v>57</v>
      </c>
      <c r="B14" s="2">
        <f>'2. Balance Sheet'!B29</f>
        <v>148.80000000000001</v>
      </c>
      <c r="C14" s="2">
        <f>'2. Balance Sheet'!C29</f>
        <v>132.4</v>
      </c>
      <c r="D14" s="9">
        <f>B14-C14</f>
        <v>16.400000000000006</v>
      </c>
    </row>
    <row r="15" spans="1:4" ht="16" x14ac:dyDescent="0.2">
      <c r="A15" s="24" t="s">
        <v>58</v>
      </c>
      <c r="B15" s="2">
        <f>'2. Balance Sheet'!B30</f>
        <v>286</v>
      </c>
      <c r="C15" s="2">
        <f>'2. Balance Sheet'!C30</f>
        <v>254.5</v>
      </c>
      <c r="D15" s="9">
        <f>B15-C15</f>
        <v>31.5</v>
      </c>
    </row>
    <row r="16" spans="1:4" ht="16" x14ac:dyDescent="0.2">
      <c r="A16" s="24" t="s">
        <v>59</v>
      </c>
      <c r="B16" s="2">
        <f>'2. Balance Sheet'!B31</f>
        <v>63.7</v>
      </c>
      <c r="C16" s="2">
        <f>'2. Balance Sheet'!C31</f>
        <v>58.6</v>
      </c>
      <c r="D16" s="9">
        <f>B16-C16</f>
        <v>5.1000000000000014</v>
      </c>
    </row>
    <row r="17" spans="1:4" ht="16" x14ac:dyDescent="0.2">
      <c r="A17" s="24" t="s">
        <v>60</v>
      </c>
      <c r="B17" s="2">
        <f>'2. Balance Sheet'!B32</f>
        <v>6.2</v>
      </c>
      <c r="C17" s="2">
        <f>'2. Balance Sheet'!C32</f>
        <v>4.5</v>
      </c>
      <c r="D17" s="9">
        <f>B17-C17</f>
        <v>1.7000000000000002</v>
      </c>
    </row>
    <row r="18" spans="1:4" ht="16" x14ac:dyDescent="0.2">
      <c r="A18" s="24" t="s">
        <v>61</v>
      </c>
      <c r="B18" s="2">
        <f>'2. Balance Sheet'!B33</f>
        <v>2.8</v>
      </c>
      <c r="C18" s="2">
        <f>'2. Balance Sheet'!C33</f>
        <v>2.7</v>
      </c>
      <c r="D18" s="9">
        <f>B18-C18</f>
        <v>9.9999999999999645E-2</v>
      </c>
    </row>
    <row r="19" spans="1:4" ht="18" customHeight="1" x14ac:dyDescent="0.2">
      <c r="A19" s="5" t="s">
        <v>163</v>
      </c>
      <c r="B19" s="8">
        <f>SUM(B14:B18)</f>
        <v>507.5</v>
      </c>
      <c r="C19" s="8">
        <f>SUM(C14:C18)</f>
        <v>452.7</v>
      </c>
      <c r="D19" s="8">
        <f>SUM(D14:D18)</f>
        <v>54.800000000000011</v>
      </c>
    </row>
    <row r="20" spans="1:4" x14ac:dyDescent="0.2">
      <c r="A20" s="24"/>
    </row>
    <row r="21" spans="1:4" ht="18" customHeight="1" x14ac:dyDescent="0.2">
      <c r="A21" s="3" t="s">
        <v>164</v>
      </c>
      <c r="B21" s="4">
        <f>B11-B19</f>
        <v>874.39999999999986</v>
      </c>
      <c r="C21" s="4">
        <f>C11-C19</f>
        <v>843.7</v>
      </c>
      <c r="D21" s="4">
        <f>D11-D19</f>
        <v>30.699999999999989</v>
      </c>
    </row>
    <row r="22" spans="1:4" x14ac:dyDescent="0.2">
      <c r="A22" s="24"/>
    </row>
    <row r="23" spans="1:4" x14ac:dyDescent="0.2">
      <c r="A23" s="29" t="s">
        <v>165</v>
      </c>
      <c r="B23" s="30"/>
      <c r="C23" s="30"/>
      <c r="D23" s="30"/>
    </row>
    <row r="24" spans="1:4" ht="16" x14ac:dyDescent="0.2">
      <c r="A24" s="24" t="s">
        <v>166</v>
      </c>
      <c r="B24" s="15">
        <f>IFERROR((B6+B7)/'1. Income Statement'!B9*90,0)</f>
        <v>29.960264900662253</v>
      </c>
      <c r="C24" s="15">
        <f>IFERROR((C6+C7)/'1. Income Statement'!C9*90,0)</f>
        <v>32.655080213903737</v>
      </c>
      <c r="D24" s="15">
        <f>B24-C24</f>
        <v>-2.6948153132414845</v>
      </c>
    </row>
    <row r="25" spans="1:4" ht="16" x14ac:dyDescent="0.2">
      <c r="A25" s="24" t="s">
        <v>167</v>
      </c>
      <c r="B25" s="15">
        <f>IFERROR((B8+B9)/'1. Income Statement'!B17*90,0)</f>
        <v>337.95518207282913</v>
      </c>
      <c r="C25" s="15">
        <f>IFERROR((C8+C9)/'1. Income Statement'!C17*90,0)</f>
        <v>379.23105360443617</v>
      </c>
      <c r="D25" s="15">
        <f>B25-C25</f>
        <v>-41.275871531607038</v>
      </c>
    </row>
    <row r="26" spans="1:4" ht="16" x14ac:dyDescent="0.2">
      <c r="A26" s="24" t="s">
        <v>168</v>
      </c>
      <c r="B26" s="15">
        <f>IFERROR((B13+B14)/'1. Income Statement'!B17*90,0)</f>
        <v>41.680672268907564</v>
      </c>
      <c r="C26" s="15">
        <f>IFERROR((C13+C14)/'1. Income Statement'!C17*90,0)</f>
        <v>44.051756007393713</v>
      </c>
      <c r="D26" s="15">
        <f>B26-C26</f>
        <v>-2.3710837384861492</v>
      </c>
    </row>
    <row r="27" spans="1:4" ht="16" x14ac:dyDescent="0.2">
      <c r="A27" s="24" t="s">
        <v>169</v>
      </c>
      <c r="B27" s="16">
        <f>IFERROR('2. Balance Sheet'!B14/'2. Balance Sheet'!B35,0)</f>
        <v>1.9296703296703295</v>
      </c>
      <c r="C27" s="16">
        <f>IFERROR('2. Balance Sheet'!C14/'2. Balance Sheet'!C35,0)</f>
        <v>1.9970366379310345</v>
      </c>
      <c r="D27" s="16">
        <f>B27-C27</f>
        <v>-6.7366308260704999E-2</v>
      </c>
    </row>
    <row r="28" spans="1:4" ht="16" x14ac:dyDescent="0.2">
      <c r="A28" s="24" t="s">
        <v>170</v>
      </c>
      <c r="B28" s="15">
        <f>B24-B25-B26</f>
        <v>-349.67558944107446</v>
      </c>
      <c r="C28" s="15">
        <f>C24-C25-C26</f>
        <v>-390.62772939792615</v>
      </c>
      <c r="D28" s="15">
        <f>B28-C28</f>
        <v>40.952139956851681</v>
      </c>
    </row>
    <row r="29" spans="1:4" x14ac:dyDescent="0.2">
      <c r="A29" s="24"/>
    </row>
    <row r="30" spans="1:4" x14ac:dyDescent="0.2">
      <c r="A30" s="24"/>
    </row>
    <row r="31" spans="1:4" x14ac:dyDescent="0.2">
      <c r="A31" s="24"/>
    </row>
    <row r="32" spans="1:4" x14ac:dyDescent="0.2">
      <c r="A32" s="24"/>
    </row>
    <row r="33" spans="1:1" x14ac:dyDescent="0.2">
      <c r="A33" s="24"/>
    </row>
    <row r="34" spans="1:1" x14ac:dyDescent="0.2">
      <c r="A34" s="24"/>
    </row>
    <row r="35" spans="1:1" x14ac:dyDescent="0.2">
      <c r="A35" s="24"/>
    </row>
    <row r="36" spans="1:1" x14ac:dyDescent="0.2">
      <c r="A36" s="24"/>
    </row>
    <row r="37" spans="1:1" x14ac:dyDescent="0.2">
      <c r="A37" s="24"/>
    </row>
    <row r="38" spans="1:1" x14ac:dyDescent="0.2">
      <c r="A38" s="24"/>
    </row>
    <row r="39" spans="1:1" x14ac:dyDescent="0.2">
      <c r="A39" s="24"/>
    </row>
  </sheetData>
  <mergeCells count="5">
    <mergeCell ref="A1:D1"/>
    <mergeCell ref="A23:D23"/>
    <mergeCell ref="A5:D5"/>
    <mergeCell ref="A2:D2"/>
    <mergeCell ref="A13:D13"/>
  </mergeCells>
  <pageMargins left="0.3" right="0.3" top="0.5" bottom="0.5" header="0.5" footer="0.5"/>
  <pageSetup fitToHeight="0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3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3" width="12" customWidth="1"/>
    <col min="4" max="5" width="16" customWidth="1"/>
    <col min="6" max="6" width="18" customWidth="1"/>
    <col min="7" max="7" width="14" customWidth="1"/>
    <col min="8" max="8" width="38" customWidth="1"/>
  </cols>
  <sheetData>
    <row r="1" spans="1:8" ht="22" customHeight="1" x14ac:dyDescent="0.25">
      <c r="A1" s="27" t="s">
        <v>171</v>
      </c>
      <c r="B1" s="28"/>
      <c r="C1" s="28"/>
      <c r="D1" s="28"/>
      <c r="E1" s="28"/>
      <c r="F1" s="28"/>
      <c r="G1" s="28"/>
      <c r="H1" s="28"/>
    </row>
    <row r="2" spans="1:8" ht="18" customHeight="1" x14ac:dyDescent="0.2">
      <c r="A2" s="31" t="s">
        <v>142</v>
      </c>
      <c r="B2" s="28"/>
      <c r="C2" s="28"/>
      <c r="D2" s="28"/>
      <c r="E2" s="28"/>
      <c r="F2" s="28"/>
      <c r="G2" s="28"/>
      <c r="H2" s="28"/>
    </row>
    <row r="3" spans="1:8" x14ac:dyDescent="0.2">
      <c r="A3" s="22"/>
    </row>
    <row r="4" spans="1:8" ht="20" customHeight="1" x14ac:dyDescent="0.2">
      <c r="A4" s="1" t="s">
        <v>172</v>
      </c>
      <c r="B4" s="23" t="s">
        <v>173</v>
      </c>
      <c r="C4" s="23" t="s">
        <v>174</v>
      </c>
      <c r="D4" s="23" t="s">
        <v>175</v>
      </c>
      <c r="E4" s="23" t="s">
        <v>176</v>
      </c>
      <c r="F4" s="23" t="s">
        <v>177</v>
      </c>
      <c r="G4" s="23" t="s">
        <v>178</v>
      </c>
      <c r="H4" s="23" t="s">
        <v>179</v>
      </c>
    </row>
    <row r="5" spans="1:8" x14ac:dyDescent="0.2">
      <c r="A5" s="29" t="s">
        <v>180</v>
      </c>
      <c r="B5" s="30"/>
      <c r="C5" s="30"/>
      <c r="D5" s="30"/>
      <c r="E5" s="30"/>
      <c r="F5" s="30"/>
      <c r="G5" s="30"/>
      <c r="H5" s="30"/>
    </row>
    <row r="6" spans="1:8" ht="16" x14ac:dyDescent="0.2">
      <c r="A6" s="24" t="s">
        <v>181</v>
      </c>
      <c r="B6" s="18" t="s">
        <v>182</v>
      </c>
      <c r="C6" s="17">
        <v>4.9500000000000002E-2</v>
      </c>
      <c r="D6" s="7">
        <v>265</v>
      </c>
      <c r="E6" s="7">
        <v>25</v>
      </c>
      <c r="F6" s="7">
        <v>240</v>
      </c>
      <c r="G6" t="s">
        <v>183</v>
      </c>
      <c r="H6" s="18" t="s">
        <v>184</v>
      </c>
    </row>
    <row r="7" spans="1:8" ht="16" x14ac:dyDescent="0.2">
      <c r="A7" s="24" t="s">
        <v>185</v>
      </c>
      <c r="B7" t="s">
        <v>186</v>
      </c>
      <c r="C7" s="17">
        <v>5.3499999999999999E-2</v>
      </c>
      <c r="D7" s="7">
        <v>210</v>
      </c>
      <c r="E7" s="7">
        <v>20</v>
      </c>
      <c r="F7" s="7">
        <v>190</v>
      </c>
      <c r="G7" t="s">
        <v>187</v>
      </c>
      <c r="H7" s="18" t="s">
        <v>188</v>
      </c>
    </row>
    <row r="8" spans="1:8" ht="16" x14ac:dyDescent="0.2">
      <c r="A8" s="24" t="s">
        <v>189</v>
      </c>
      <c r="B8" s="18" t="s">
        <v>190</v>
      </c>
      <c r="C8" s="17">
        <v>6.0999999999999999E-2</v>
      </c>
      <c r="D8" s="7">
        <v>112</v>
      </c>
      <c r="E8" s="7">
        <v>30</v>
      </c>
      <c r="F8" s="7">
        <v>82</v>
      </c>
      <c r="G8" t="s">
        <v>191</v>
      </c>
      <c r="H8" s="18" t="s">
        <v>192</v>
      </c>
    </row>
    <row r="9" spans="1:8" ht="16" x14ac:dyDescent="0.2">
      <c r="A9" s="24" t="s">
        <v>193</v>
      </c>
      <c r="B9" s="18" t="s">
        <v>194</v>
      </c>
      <c r="C9" s="17">
        <v>5.7500000000000002E-2</v>
      </c>
      <c r="D9" s="7">
        <v>64</v>
      </c>
      <c r="E9" s="7">
        <v>12</v>
      </c>
      <c r="F9" s="7">
        <v>52</v>
      </c>
      <c r="G9" t="s">
        <v>195</v>
      </c>
      <c r="H9" s="18" t="s">
        <v>196</v>
      </c>
    </row>
    <row r="10" spans="1:8" ht="32" x14ac:dyDescent="0.2">
      <c r="A10" s="24" t="s">
        <v>197</v>
      </c>
      <c r="B10" s="18" t="s">
        <v>198</v>
      </c>
      <c r="C10" s="17">
        <v>6.6000000000000003E-2</v>
      </c>
      <c r="D10" s="7">
        <v>70</v>
      </c>
      <c r="E10" s="7">
        <v>10</v>
      </c>
      <c r="F10" s="7">
        <v>60</v>
      </c>
      <c r="G10" t="s">
        <v>199</v>
      </c>
      <c r="H10" s="18" t="s">
        <v>200</v>
      </c>
    </row>
    <row r="11" spans="1:8" ht="18" customHeight="1" x14ac:dyDescent="0.2">
      <c r="A11" s="3" t="s">
        <v>201</v>
      </c>
      <c r="B11" s="26"/>
      <c r="C11" s="26"/>
      <c r="D11" s="4">
        <f>SUM(D6:D10)</f>
        <v>721</v>
      </c>
      <c r="E11" s="4">
        <f>SUM(E6:E10)</f>
        <v>97</v>
      </c>
      <c r="F11" s="4">
        <f>SUM(F6:F10)</f>
        <v>624</v>
      </c>
      <c r="G11" s="26"/>
      <c r="H11" s="26"/>
    </row>
    <row r="12" spans="1:8" x14ac:dyDescent="0.2">
      <c r="A12" s="24"/>
    </row>
    <row r="13" spans="1:8" ht="32" x14ac:dyDescent="0.2">
      <c r="A13" s="24" t="s">
        <v>202</v>
      </c>
      <c r="C13" s="11">
        <f>SUMPRODUCT(C6:C10,D6:D10)/SUM(D6:D10)</f>
        <v>5.4763522884882107E-2</v>
      </c>
    </row>
  </sheetData>
  <mergeCells count="3">
    <mergeCell ref="A2:H2"/>
    <mergeCell ref="A5:H5"/>
    <mergeCell ref="A1:H1"/>
  </mergeCells>
  <pageMargins left="0.3" right="0.3" top="0.5" bottom="0.5" header="0.5" footer="0.5"/>
  <pageSetup fitToHeight="0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12"/>
  <sheetViews>
    <sheetView showGridLines="0" workbookViewId="0">
      <pane ySplit="4" topLeftCell="A5" activePane="bottomLeft" state="frozen"/>
      <selection pane="bottomLeft" sqref="A1:F1"/>
    </sheetView>
  </sheetViews>
  <sheetFormatPr baseColWidth="10" defaultColWidth="8.83203125" defaultRowHeight="15" x14ac:dyDescent="0.2"/>
  <cols>
    <col min="1" max="1" width="30" customWidth="1"/>
    <col min="2" max="2" width="46" customWidth="1"/>
    <col min="3" max="3" width="16" customWidth="1"/>
    <col min="4" max="4" width="18" customWidth="1"/>
    <col min="5" max="6" width="14" customWidth="1"/>
  </cols>
  <sheetData>
    <row r="1" spans="1:6" ht="22" customHeight="1" x14ac:dyDescent="0.25">
      <c r="A1" s="27" t="s">
        <v>203</v>
      </c>
      <c r="B1" s="28"/>
      <c r="C1" s="28"/>
      <c r="D1" s="28"/>
      <c r="E1" s="28"/>
      <c r="F1" s="28"/>
    </row>
    <row r="2" spans="1:6" ht="18" customHeight="1" x14ac:dyDescent="0.2">
      <c r="A2" s="31" t="s">
        <v>204</v>
      </c>
      <c r="B2" s="28"/>
      <c r="C2" s="28"/>
      <c r="D2" s="28"/>
      <c r="E2" s="28"/>
      <c r="F2" s="28"/>
    </row>
    <row r="3" spans="1:6" x14ac:dyDescent="0.2">
      <c r="A3" s="22"/>
    </row>
    <row r="4" spans="1:6" ht="20" customHeight="1" x14ac:dyDescent="0.2">
      <c r="A4" s="1" t="s">
        <v>205</v>
      </c>
      <c r="B4" s="23" t="s">
        <v>206</v>
      </c>
      <c r="C4" s="23" t="s">
        <v>207</v>
      </c>
      <c r="D4" s="23" t="s">
        <v>208</v>
      </c>
      <c r="E4" s="23" t="s">
        <v>209</v>
      </c>
      <c r="F4" s="23" t="s">
        <v>210</v>
      </c>
    </row>
    <row r="5" spans="1:6" x14ac:dyDescent="0.2">
      <c r="A5" s="29" t="s">
        <v>211</v>
      </c>
      <c r="B5" s="30"/>
      <c r="C5" s="30"/>
      <c r="D5" s="30"/>
      <c r="E5" s="30"/>
      <c r="F5" s="30"/>
    </row>
    <row r="6" spans="1:6" ht="16" x14ac:dyDescent="0.2">
      <c r="A6" s="24" t="s">
        <v>148</v>
      </c>
      <c r="B6" s="18" t="s">
        <v>212</v>
      </c>
      <c r="C6" s="7">
        <v>4.0999999999999996</v>
      </c>
      <c r="D6" s="7">
        <v>15.4</v>
      </c>
      <c r="E6" s="7">
        <v>18</v>
      </c>
      <c r="F6" s="11">
        <f t="shared" ref="F6:F12" si="0">IFERROR(D6/E6,0)</f>
        <v>0.85555555555555562</v>
      </c>
    </row>
    <row r="7" spans="1:6" ht="16" x14ac:dyDescent="0.2">
      <c r="A7" s="24" t="s">
        <v>213</v>
      </c>
      <c r="B7" s="18" t="s">
        <v>214</v>
      </c>
      <c r="C7" s="7">
        <v>3</v>
      </c>
      <c r="D7" s="7">
        <v>11.7</v>
      </c>
      <c r="E7" s="7">
        <v>14</v>
      </c>
      <c r="F7" s="11">
        <f t="shared" si="0"/>
        <v>0.83571428571428563</v>
      </c>
    </row>
    <row r="8" spans="1:6" ht="16" x14ac:dyDescent="0.2">
      <c r="A8" s="24" t="s">
        <v>151</v>
      </c>
      <c r="B8" s="18" t="s">
        <v>215</v>
      </c>
      <c r="C8" s="7">
        <v>2.8</v>
      </c>
      <c r="D8" s="7">
        <v>10.199999999999999</v>
      </c>
      <c r="E8" s="7">
        <v>12.5</v>
      </c>
      <c r="F8" s="11">
        <f t="shared" si="0"/>
        <v>0.81599999999999995</v>
      </c>
    </row>
    <row r="9" spans="1:6" ht="16" x14ac:dyDescent="0.2">
      <c r="A9" s="24" t="s">
        <v>216</v>
      </c>
      <c r="B9" s="18" t="s">
        <v>217</v>
      </c>
      <c r="C9" s="7">
        <v>1.2</v>
      </c>
      <c r="D9" s="7">
        <v>4.9000000000000004</v>
      </c>
      <c r="E9" s="7">
        <v>6.5</v>
      </c>
      <c r="F9" s="11">
        <f t="shared" si="0"/>
        <v>0.75384615384615394</v>
      </c>
    </row>
    <row r="10" spans="1:6" ht="16" x14ac:dyDescent="0.2">
      <c r="A10" s="24" t="s">
        <v>218</v>
      </c>
      <c r="B10" s="18" t="s">
        <v>219</v>
      </c>
      <c r="C10" s="7">
        <v>0.9</v>
      </c>
      <c r="D10" s="7">
        <v>3.3</v>
      </c>
      <c r="E10" s="7">
        <v>4</v>
      </c>
      <c r="F10" s="11">
        <f t="shared" si="0"/>
        <v>0.82499999999999996</v>
      </c>
    </row>
    <row r="11" spans="1:6" ht="32" x14ac:dyDescent="0.2">
      <c r="A11" s="24" t="s">
        <v>220</v>
      </c>
      <c r="B11" s="18" t="s">
        <v>221</v>
      </c>
      <c r="C11" s="7">
        <v>0.5</v>
      </c>
      <c r="D11" s="7">
        <v>0.8</v>
      </c>
      <c r="E11" s="7">
        <v>1</v>
      </c>
      <c r="F11" s="11">
        <f t="shared" si="0"/>
        <v>0.8</v>
      </c>
    </row>
    <row r="12" spans="1:6" ht="18" customHeight="1" x14ac:dyDescent="0.2">
      <c r="A12" s="3" t="s">
        <v>153</v>
      </c>
      <c r="B12" s="26"/>
      <c r="C12" s="4">
        <f>SUM(C6:C11)</f>
        <v>12.499999999999998</v>
      </c>
      <c r="D12" s="4">
        <f>SUM(D6:D11)</f>
        <v>46.29999999999999</v>
      </c>
      <c r="E12" s="4">
        <f>SUM(E6:E11)</f>
        <v>56</v>
      </c>
      <c r="F12" s="13">
        <f t="shared" si="0"/>
        <v>0.82678571428571412</v>
      </c>
    </row>
  </sheetData>
  <mergeCells count="3">
    <mergeCell ref="A2:F2"/>
    <mergeCell ref="A1:F1"/>
    <mergeCell ref="A5:F5"/>
  </mergeCells>
  <pageMargins left="0.3" right="0.3" top="0.5" bottom="0.5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16" customWidth="1"/>
    <col min="4" max="4" width="42" customWidth="1"/>
  </cols>
  <sheetData>
    <row r="1" spans="1:4" ht="22" customHeight="1" x14ac:dyDescent="0.25">
      <c r="A1" s="32" t="s">
        <v>222</v>
      </c>
      <c r="B1" s="28"/>
      <c r="C1" s="28"/>
      <c r="D1" s="28"/>
    </row>
    <row r="2" spans="1:4" ht="18" customHeight="1" x14ac:dyDescent="0.2">
      <c r="A2" s="34" t="s">
        <v>223</v>
      </c>
      <c r="B2" s="28"/>
      <c r="C2" s="28"/>
      <c r="D2" s="28"/>
    </row>
    <row r="4" spans="1:4" ht="20" customHeight="1" x14ac:dyDescent="0.2">
      <c r="A4" s="23" t="s">
        <v>224</v>
      </c>
      <c r="B4" s="23" t="s">
        <v>3</v>
      </c>
      <c r="C4" s="23" t="s">
        <v>4</v>
      </c>
      <c r="D4" s="23" t="s">
        <v>225</v>
      </c>
    </row>
    <row r="5" spans="1:4" ht="16" x14ac:dyDescent="0.2">
      <c r="A5" t="s">
        <v>226</v>
      </c>
      <c r="B5" s="11">
        <f>IFERROR(('1. Income Statement'!B9/'1. Income Statement'!C9)-1,0)</f>
        <v>0.21122994652406413</v>
      </c>
      <c r="C5" t="s">
        <v>227</v>
      </c>
      <c r="D5" s="18" t="s">
        <v>228</v>
      </c>
    </row>
    <row r="6" spans="1:4" ht="16" x14ac:dyDescent="0.2">
      <c r="A6" t="s">
        <v>17</v>
      </c>
      <c r="B6" s="11">
        <f>'1. Income Statement'!B19</f>
        <v>0.29072847682119202</v>
      </c>
      <c r="C6" s="11">
        <f>'1. Income Statement'!C19</f>
        <v>0.2767379679144385</v>
      </c>
      <c r="D6" s="18" t="s">
        <v>229</v>
      </c>
    </row>
    <row r="7" spans="1:4" ht="16" x14ac:dyDescent="0.2">
      <c r="A7" t="s">
        <v>23</v>
      </c>
      <c r="B7" s="11">
        <f>'1. Income Statement'!B26</f>
        <v>0.15540838852097127</v>
      </c>
      <c r="C7" s="11">
        <f>'1. Income Statement'!C26</f>
        <v>0.12914438502673797</v>
      </c>
      <c r="D7" s="18" t="s">
        <v>230</v>
      </c>
    </row>
    <row r="8" spans="1:4" ht="16" x14ac:dyDescent="0.2">
      <c r="A8" t="s">
        <v>231</v>
      </c>
      <c r="B8" s="11">
        <f>IFERROR('1. Income Statement'!B28/'1. Income Statement'!B9,0)</f>
        <v>0.14039735099337747</v>
      </c>
      <c r="C8" s="11">
        <f>IFERROR('1. Income Statement'!C28/'1. Income Statement'!C9,0)</f>
        <v>0.11203208556149732</v>
      </c>
      <c r="D8" s="18" t="s">
        <v>232</v>
      </c>
    </row>
    <row r="9" spans="1:4" ht="16" x14ac:dyDescent="0.2">
      <c r="A9" t="s">
        <v>32</v>
      </c>
      <c r="B9" s="11">
        <f>IFERROR('1. Income Statement'!B35/'1. Income Statement'!B9,0)</f>
        <v>0.10618101545253862</v>
      </c>
      <c r="C9" s="11">
        <f>IFERROR('1. Income Statement'!C35/'1. Income Statement'!C9,0)</f>
        <v>7.647058823529411E-2</v>
      </c>
      <c r="D9" s="18" t="s">
        <v>233</v>
      </c>
    </row>
    <row r="10" spans="1:4" ht="16" x14ac:dyDescent="0.2">
      <c r="A10" t="s">
        <v>234</v>
      </c>
      <c r="B10" s="16">
        <f>IFERROR(('2. Balance Sheet'!B34+'2. Balance Sheet'!B38+'2. Balance Sheet'!B33+'2. Balance Sheet'!B39)/'2. Balance Sheet'!B49,0)</f>
        <v>1.5932239965472597</v>
      </c>
      <c r="C10" s="16">
        <f>IFERROR(('2. Balance Sheet'!C34+'2. Balance Sheet'!C38+'2. Balance Sheet'!C33+'2. Balance Sheet'!C39)/'2. Balance Sheet'!C49,0)</f>
        <v>1.8004813477737667</v>
      </c>
      <c r="D10" s="18" t="s">
        <v>235</v>
      </c>
    </row>
    <row r="11" spans="1:4" ht="16" x14ac:dyDescent="0.2">
      <c r="A11" t="s">
        <v>236</v>
      </c>
      <c r="B11" s="16">
        <f>'7. Working Capital'!B27</f>
        <v>1.9296703296703295</v>
      </c>
      <c r="C11" s="16">
        <f>'7. Working Capital'!C27</f>
        <v>1.9970366379310345</v>
      </c>
      <c r="D11" s="18" t="s">
        <v>237</v>
      </c>
    </row>
    <row r="12" spans="1:4" ht="16" x14ac:dyDescent="0.2">
      <c r="A12" t="s">
        <v>238</v>
      </c>
      <c r="B12" s="16">
        <f>IFERROR('1. Income Statement'!B25/'1. Income Statement'!B31,0)</f>
        <v>5.4573643410852704</v>
      </c>
      <c r="C12" s="16">
        <f>IFERROR('1. Income Statement'!C25/'1. Income Statement'!C31,0)</f>
        <v>4.0932203389830502</v>
      </c>
      <c r="D12" s="18" t="s">
        <v>239</v>
      </c>
    </row>
    <row r="13" spans="1:4" ht="16" x14ac:dyDescent="0.2">
      <c r="A13" t="s">
        <v>240</v>
      </c>
      <c r="B13" s="16">
        <f>IFERROR((('2. Balance Sheet'!B34+'2. Balance Sheet'!B38+'2. Balance Sheet'!B33+'2. Balance Sheet'!B39-'2. Balance Sheet'!B7)/(4*'1. Income Statement'!B25)),0)</f>
        <v>1.9595170454545456</v>
      </c>
      <c r="C13" s="16">
        <f>IFERROR((('2. Balance Sheet'!C34+'2. Balance Sheet'!C38+'2. Balance Sheet'!C33+'2. Balance Sheet'!C39-'2. Balance Sheet'!C7)/(4*'1. Income Statement'!C25)),0)</f>
        <v>2.9704968944099384</v>
      </c>
      <c r="D13" s="18" t="s">
        <v>241</v>
      </c>
    </row>
  </sheetData>
  <mergeCells count="2">
    <mergeCell ref="A1:D1"/>
    <mergeCell ref="A2:D2"/>
  </mergeCells>
  <pageMargins left="0.3" right="0.3" top="0.5" bottom="0.5" header="0.5" footer="0.5"/>
  <pageSetup fitToHeight="0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13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4" width="16" customWidth="1"/>
    <col min="5" max="5" width="14" customWidth="1"/>
    <col min="6" max="6" width="56" customWidth="1"/>
  </cols>
  <sheetData>
    <row r="1" spans="1:6" ht="22" customHeight="1" x14ac:dyDescent="0.25">
      <c r="A1" s="27" t="s">
        <v>242</v>
      </c>
      <c r="B1" s="28"/>
      <c r="C1" s="28"/>
      <c r="D1" s="28"/>
      <c r="E1" s="28"/>
      <c r="F1" s="28"/>
    </row>
    <row r="2" spans="1:6" ht="18" customHeight="1" x14ac:dyDescent="0.2">
      <c r="A2" s="31" t="s">
        <v>243</v>
      </c>
      <c r="B2" s="28"/>
      <c r="C2" s="28"/>
      <c r="D2" s="28"/>
      <c r="E2" s="28"/>
      <c r="F2" s="28"/>
    </row>
    <row r="3" spans="1:6" x14ac:dyDescent="0.2">
      <c r="A3" s="22"/>
    </row>
    <row r="4" spans="1:6" ht="20" customHeight="1" x14ac:dyDescent="0.2">
      <c r="A4" s="1" t="s">
        <v>244</v>
      </c>
      <c r="B4" s="23" t="s">
        <v>3</v>
      </c>
      <c r="C4" s="23" t="s">
        <v>4</v>
      </c>
      <c r="D4" s="23" t="s">
        <v>245</v>
      </c>
      <c r="E4" s="23" t="s">
        <v>246</v>
      </c>
      <c r="F4" s="23" t="s">
        <v>247</v>
      </c>
    </row>
    <row r="5" spans="1:6" ht="32" x14ac:dyDescent="0.2">
      <c r="A5" s="24" t="s">
        <v>6</v>
      </c>
      <c r="B5" s="2">
        <f>'1. Income Statement'!B9</f>
        <v>453</v>
      </c>
      <c r="C5" s="2">
        <f>'1. Income Statement'!C9</f>
        <v>374</v>
      </c>
      <c r="D5" s="9">
        <f t="shared" ref="D5:D13" si="0">B5-C5</f>
        <v>79</v>
      </c>
      <c r="E5" s="11">
        <f t="shared" ref="E5:E13" si="1">IFERROR(D5/C5,0)</f>
        <v>0.21122994652406418</v>
      </c>
      <c r="F5" s="18" t="s">
        <v>248</v>
      </c>
    </row>
    <row r="6" spans="1:6" ht="16" x14ac:dyDescent="0.2">
      <c r="A6" s="24" t="s">
        <v>10</v>
      </c>
      <c r="B6" s="2">
        <f>'1. Income Statement'!B17</f>
        <v>321.3</v>
      </c>
      <c r="C6" s="2">
        <f>'1. Income Statement'!C17</f>
        <v>270.5</v>
      </c>
      <c r="D6" s="9">
        <f t="shared" si="0"/>
        <v>50.800000000000011</v>
      </c>
      <c r="E6" s="11">
        <f t="shared" si="1"/>
        <v>0.18780036968576713</v>
      </c>
      <c r="F6" s="18" t="s">
        <v>249</v>
      </c>
    </row>
    <row r="7" spans="1:6" ht="32" x14ac:dyDescent="0.2">
      <c r="A7" s="24" t="s">
        <v>16</v>
      </c>
      <c r="B7" s="2">
        <f>'1. Income Statement'!B18</f>
        <v>131.69999999999999</v>
      </c>
      <c r="C7" s="2">
        <f>'1. Income Statement'!C18</f>
        <v>103.5</v>
      </c>
      <c r="D7" s="9">
        <f t="shared" si="0"/>
        <v>28.199999999999989</v>
      </c>
      <c r="E7" s="11">
        <f t="shared" si="1"/>
        <v>0.27246376811594192</v>
      </c>
      <c r="F7" s="18" t="s">
        <v>250</v>
      </c>
    </row>
    <row r="8" spans="1:6" ht="16" x14ac:dyDescent="0.2">
      <c r="A8" s="24" t="s">
        <v>125</v>
      </c>
      <c r="B8" s="2">
        <f>'1. Income Statement'!B22</f>
        <v>18.8</v>
      </c>
      <c r="C8" s="2">
        <f>'1. Income Statement'!C22</f>
        <v>15.899999999999999</v>
      </c>
      <c r="D8" s="9">
        <f t="shared" si="0"/>
        <v>2.9000000000000021</v>
      </c>
      <c r="E8" s="11">
        <f t="shared" si="1"/>
        <v>0.18238993710691839</v>
      </c>
      <c r="F8" s="18" t="s">
        <v>251</v>
      </c>
    </row>
    <row r="9" spans="1:6" ht="32" x14ac:dyDescent="0.2">
      <c r="A9" s="24" t="s">
        <v>131</v>
      </c>
      <c r="B9" s="2">
        <f>'1. Income Statement'!B23</f>
        <v>42.5</v>
      </c>
      <c r="C9" s="2">
        <f>'1. Income Statement'!C23</f>
        <v>39.300000000000004</v>
      </c>
      <c r="D9" s="9">
        <f t="shared" si="0"/>
        <v>3.1999999999999957</v>
      </c>
      <c r="E9" s="11">
        <f t="shared" si="1"/>
        <v>8.1424936386768329E-2</v>
      </c>
      <c r="F9" s="18" t="s">
        <v>252</v>
      </c>
    </row>
    <row r="10" spans="1:6" ht="32" x14ac:dyDescent="0.2">
      <c r="A10" s="24" t="s">
        <v>22</v>
      </c>
      <c r="B10" s="2">
        <f>'1. Income Statement'!B25</f>
        <v>70.399999999999991</v>
      </c>
      <c r="C10" s="2">
        <f>'1. Income Statement'!C25</f>
        <v>48.3</v>
      </c>
      <c r="D10" s="9">
        <f t="shared" si="0"/>
        <v>22.099999999999994</v>
      </c>
      <c r="E10" s="11">
        <f t="shared" si="1"/>
        <v>0.45755693581780527</v>
      </c>
      <c r="F10" s="18" t="s">
        <v>253</v>
      </c>
    </row>
    <row r="11" spans="1:6" ht="32" x14ac:dyDescent="0.2">
      <c r="A11" s="24" t="s">
        <v>25</v>
      </c>
      <c r="B11" s="2">
        <f>'1. Income Statement'!B28</f>
        <v>63.599999999999994</v>
      </c>
      <c r="C11" s="2">
        <f>'1. Income Statement'!C28</f>
        <v>41.9</v>
      </c>
      <c r="D11" s="9">
        <f t="shared" si="0"/>
        <v>21.699999999999996</v>
      </c>
      <c r="E11" s="11">
        <f t="shared" si="1"/>
        <v>0.51789976133651539</v>
      </c>
      <c r="F11" s="18" t="s">
        <v>254</v>
      </c>
    </row>
    <row r="12" spans="1:6" ht="32" x14ac:dyDescent="0.2">
      <c r="A12" s="24" t="s">
        <v>255</v>
      </c>
      <c r="B12" s="2">
        <f>B30-B31</f>
        <v>0</v>
      </c>
      <c r="C12" s="2">
        <f>C30-C31</f>
        <v>0</v>
      </c>
      <c r="D12" s="9">
        <f t="shared" si="0"/>
        <v>0</v>
      </c>
      <c r="E12" s="11">
        <f t="shared" si="1"/>
        <v>0</v>
      </c>
      <c r="F12" s="18" t="s">
        <v>256</v>
      </c>
    </row>
    <row r="13" spans="1:6" ht="32" x14ac:dyDescent="0.2">
      <c r="A13" s="24" t="s">
        <v>31</v>
      </c>
      <c r="B13" s="2">
        <f>'1. Income Statement'!B34</f>
        <v>4</v>
      </c>
      <c r="C13" s="2">
        <f>'1. Income Statement'!C34</f>
        <v>2.6</v>
      </c>
      <c r="D13" s="9">
        <f t="shared" si="0"/>
        <v>1.4</v>
      </c>
      <c r="E13" s="11">
        <f t="shared" si="1"/>
        <v>0.53846153846153844</v>
      </c>
      <c r="F13" s="18" t="s">
        <v>257</v>
      </c>
    </row>
  </sheetData>
  <mergeCells count="2">
    <mergeCell ref="A2:F2"/>
    <mergeCell ref="A1:F1"/>
  </mergeCells>
  <pageMargins left="0.3" right="0.3" top="0.5" bottom="0.5" header="0.5" footer="0.5"/>
  <pageSetup fitToHeight="0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21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4" width="15" customWidth="1"/>
    <col min="5" max="5" width="2" customWidth="1"/>
    <col min="6" max="6" width="22" customWidth="1"/>
    <col min="7" max="8" width="15" customWidth="1"/>
  </cols>
  <sheetData>
    <row r="1" spans="1:8" ht="22" customHeight="1" x14ac:dyDescent="0.25">
      <c r="A1" s="32" t="s">
        <v>258</v>
      </c>
      <c r="B1" s="28"/>
      <c r="C1" s="28"/>
      <c r="D1" s="28"/>
      <c r="E1" s="28"/>
      <c r="F1" s="28"/>
      <c r="G1" s="28"/>
      <c r="H1" s="28"/>
    </row>
    <row r="2" spans="1:8" ht="18" customHeight="1" x14ac:dyDescent="0.2">
      <c r="A2" s="34" t="s">
        <v>259</v>
      </c>
      <c r="B2" s="28"/>
      <c r="C2" s="28"/>
      <c r="D2" s="28"/>
      <c r="E2" s="28"/>
      <c r="F2" s="28"/>
      <c r="G2" s="28"/>
      <c r="H2" s="28"/>
    </row>
    <row r="4" spans="1:8" ht="20" customHeight="1" x14ac:dyDescent="0.2">
      <c r="A4" s="23" t="s">
        <v>260</v>
      </c>
      <c r="B4" s="23" t="s">
        <v>3</v>
      </c>
      <c r="C4" s="23" t="s">
        <v>4</v>
      </c>
      <c r="D4" s="23" t="s">
        <v>261</v>
      </c>
      <c r="E4" s="23"/>
      <c r="F4" s="23" t="s">
        <v>260</v>
      </c>
      <c r="G4" s="23" t="s">
        <v>3</v>
      </c>
      <c r="H4" s="23" t="s">
        <v>262</v>
      </c>
    </row>
    <row r="5" spans="1:8" x14ac:dyDescent="0.2">
      <c r="A5" s="19" t="s">
        <v>6</v>
      </c>
      <c r="B5" s="20">
        <f>'1. Income Statement'!B9</f>
        <v>453</v>
      </c>
      <c r="C5" s="20">
        <f>'1. Income Statement'!C9</f>
        <v>374</v>
      </c>
      <c r="D5" s="21">
        <f>B5-C5</f>
        <v>79</v>
      </c>
      <c r="F5" s="19" t="s">
        <v>54</v>
      </c>
      <c r="G5" s="20">
        <f>'2. Balance Sheet'!B24</f>
        <v>2040.8999999999999</v>
      </c>
      <c r="H5" s="20">
        <f>'2. Balance Sheet'!C24</f>
        <v>1929.8000000000002</v>
      </c>
    </row>
    <row r="7" spans="1:8" x14ac:dyDescent="0.2">
      <c r="A7" s="19" t="s">
        <v>16</v>
      </c>
      <c r="B7" s="20">
        <f>'1. Income Statement'!B18</f>
        <v>131.69999999999999</v>
      </c>
      <c r="C7" s="20">
        <f>'1. Income Statement'!C18</f>
        <v>103.5</v>
      </c>
      <c r="D7" s="21">
        <f>B7-C7</f>
        <v>28.199999999999989</v>
      </c>
      <c r="F7" s="19" t="s">
        <v>263</v>
      </c>
      <c r="G7" s="20">
        <f>'8. Debt Summary'!D11</f>
        <v>721</v>
      </c>
      <c r="H7" s="20">
        <f>'2. Balance Sheet'!C34+'2. Balance Sheet'!C38</f>
        <v>730</v>
      </c>
    </row>
    <row r="9" spans="1:8" x14ac:dyDescent="0.2">
      <c r="A9" s="19" t="s">
        <v>22</v>
      </c>
      <c r="B9" s="20">
        <f>'1. Income Statement'!B25</f>
        <v>70.399999999999991</v>
      </c>
      <c r="C9" s="20">
        <f>'1. Income Statement'!C25</f>
        <v>48.3</v>
      </c>
      <c r="D9" s="21">
        <f>B9-C9</f>
        <v>22.099999999999994</v>
      </c>
      <c r="F9" s="19" t="s">
        <v>264</v>
      </c>
      <c r="G9" s="20">
        <f>'2. Balance Sheet'!B7</f>
        <v>186.5</v>
      </c>
      <c r="H9" s="20">
        <f>'2. Balance Sheet'!C7</f>
        <v>174.2</v>
      </c>
    </row>
    <row r="11" spans="1:8" x14ac:dyDescent="0.2">
      <c r="A11" s="19" t="s">
        <v>31</v>
      </c>
      <c r="B11" s="20">
        <f>'1. Income Statement'!B35</f>
        <v>48.099999999999994</v>
      </c>
      <c r="C11" s="20">
        <f>'1. Income Statement'!C35</f>
        <v>28.599999999999998</v>
      </c>
      <c r="D11" s="21">
        <f>B11-C11</f>
        <v>19.499999999999996</v>
      </c>
      <c r="F11" s="19" t="s">
        <v>164</v>
      </c>
      <c r="G11" s="20">
        <f>'7. Working Capital'!B21</f>
        <v>874.39999999999986</v>
      </c>
      <c r="H11" s="20">
        <f>'7. Working Capital'!C21</f>
        <v>843.7</v>
      </c>
    </row>
    <row r="14" spans="1:8" x14ac:dyDescent="0.2">
      <c r="A14" s="35" t="s">
        <v>265</v>
      </c>
      <c r="B14" s="28"/>
      <c r="C14" s="28"/>
      <c r="D14" s="28"/>
      <c r="E14" s="28"/>
      <c r="F14" s="28"/>
      <c r="G14" s="28"/>
      <c r="H14" s="28"/>
    </row>
    <row r="15" spans="1:8" x14ac:dyDescent="0.2">
      <c r="A15" s="28"/>
      <c r="B15" s="28"/>
      <c r="C15" s="28"/>
      <c r="D15" s="28"/>
      <c r="E15" s="28"/>
      <c r="F15" s="28"/>
      <c r="G15" s="28"/>
      <c r="H15" s="28"/>
    </row>
    <row r="18" spans="1:8" ht="20" customHeight="1" x14ac:dyDescent="0.2">
      <c r="A18" s="23" t="s">
        <v>266</v>
      </c>
      <c r="B18" s="23" t="s">
        <v>3</v>
      </c>
      <c r="C18" s="23" t="s">
        <v>4</v>
      </c>
      <c r="D18" s="23"/>
      <c r="E18" s="23"/>
      <c r="F18" s="23" t="s">
        <v>267</v>
      </c>
      <c r="G18" s="23" t="s">
        <v>3</v>
      </c>
      <c r="H18" s="23"/>
    </row>
    <row r="19" spans="1:8" x14ac:dyDescent="0.2">
      <c r="A19" t="s">
        <v>6</v>
      </c>
      <c r="B19" s="2">
        <f>'1. Income Statement'!B9</f>
        <v>453</v>
      </c>
      <c r="C19" s="2">
        <f>'1. Income Statement'!C9</f>
        <v>374</v>
      </c>
      <c r="F19" t="s">
        <v>7</v>
      </c>
      <c r="G19" s="2">
        <f>'4. Revenue Breakdown'!B9</f>
        <v>235</v>
      </c>
    </row>
    <row r="20" spans="1:8" x14ac:dyDescent="0.2">
      <c r="A20" t="s">
        <v>22</v>
      </c>
      <c r="B20" s="2">
        <f>'1. Income Statement'!B25</f>
        <v>70.399999999999991</v>
      </c>
      <c r="C20" s="2">
        <f>'1. Income Statement'!C25</f>
        <v>48.3</v>
      </c>
      <c r="F20" t="s">
        <v>268</v>
      </c>
      <c r="G20" s="2">
        <f>'4. Revenue Breakdown'!B14</f>
        <v>165</v>
      </c>
    </row>
    <row r="21" spans="1:8" x14ac:dyDescent="0.2">
      <c r="A21" t="s">
        <v>31</v>
      </c>
      <c r="B21" s="2">
        <f>'1. Income Statement'!B35</f>
        <v>48.099999999999994</v>
      </c>
      <c r="C21" s="2">
        <f>'1. Income Statement'!C35</f>
        <v>28.599999999999998</v>
      </c>
      <c r="F21" t="s">
        <v>269</v>
      </c>
      <c r="G21" s="2">
        <f>'4. Revenue Breakdown'!B21</f>
        <v>53</v>
      </c>
    </row>
  </sheetData>
  <mergeCells count="3">
    <mergeCell ref="A2:H2"/>
    <mergeCell ref="A14:H15"/>
    <mergeCell ref="A1:H1"/>
  </mergeCells>
  <pageMargins left="0.3" right="0.3" top="0.5" bottom="0.5" header="0.5" footer="0.5"/>
  <pageSetup fitToHeight="0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Income Statement</vt:lpstr>
      <vt:lpstr>2. Balance Sheet</vt:lpstr>
      <vt:lpstr>3. Cash Flow</vt:lpstr>
      <vt:lpstr>4. Revenue Breakdown</vt:lpstr>
      <vt:lpstr>5. OpEx Breakdown</vt:lpstr>
      <vt:lpstr>6. Project Performance</vt:lpstr>
      <vt:lpstr>7. Working Capital</vt:lpstr>
      <vt:lpstr>8. Debt Summary</vt:lpstr>
      <vt:lpstr>9. CapEx</vt:lpstr>
      <vt:lpstr>10. Key Ratios</vt:lpstr>
      <vt:lpstr>11. Variance Analysis</vt:lpstr>
      <vt:lpstr>12.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Unaudited Financial Statements – Aurelia Developments LLC (Most Recent Quarter)</dc:title>
  <dc:subject>Quarterly unaudited financial statements and supporting diligence schedules</dc:subject>
  <dc:creator>OpenAI</dc:creator>
  <cp:lastModifiedBy>ARSHIA VIJH - 45202220132</cp:lastModifiedBy>
  <dcterms:created xsi:type="dcterms:W3CDTF">2026-03-08T02:25:31Z</dcterms:created>
  <dcterms:modified xsi:type="dcterms:W3CDTF">2026-03-08T02:34:18Z</dcterms:modified>
</cp:coreProperties>
</file>