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comments/comment7.xml" ContentType="application/vnd.openxmlformats-officedocument.spreadsheetml.comments+xml"/>
  <Override PartName="/xl/worksheets/sheet8.xml" ContentType="application/vnd.openxmlformats-officedocument.spreadsheetml.worksheet+xml"/>
  <Override PartName="/xl/comments/comment8.xml" ContentType="application/vnd.openxmlformats-officedocument.spreadsheetml.comments+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Corp_Tax_Summary" sheetId="1" state="visible" r:id="rId1"/>
    <sheet xmlns:r="http://schemas.openxmlformats.org/officeDocument/2006/relationships" name="2_Taxable_Income_Calc" sheetId="2" state="visible" r:id="rId2"/>
    <sheet xmlns:r="http://schemas.openxmlformats.org/officeDocument/2006/relationships" name="3_VAT_Summary" sheetId="3" state="visible" r:id="rId3"/>
    <sheet xmlns:r="http://schemas.openxmlformats.org/officeDocument/2006/relationships" name="4_VAT_by_Project" sheetId="4" state="visible" r:id="rId4"/>
    <sheet xmlns:r="http://schemas.openxmlformats.org/officeDocument/2006/relationships" name="5_RE_Transaction_Taxes" sheetId="5" state="visible" r:id="rId5"/>
    <sheet xmlns:r="http://schemas.openxmlformats.org/officeDocument/2006/relationships" name="6_Deferred_Tax" sheetId="6" state="visible" r:id="rId6"/>
    <sheet xmlns:r="http://schemas.openxmlformats.org/officeDocument/2006/relationships" name="7_Tax_Payments" sheetId="7" state="visible" r:id="rId7"/>
    <sheet xmlns:r="http://schemas.openxmlformats.org/officeDocument/2006/relationships" name="8_Tax_Risk_Summary" sheetId="8" state="visible" r:id="rId8"/>
  </sheets>
  <definedNames/>
  <calcPr calcId="124519" fullCalcOnLoad="1"/>
</workbook>
</file>

<file path=xl/styles.xml><?xml version="1.0" encoding="utf-8"?>
<styleSheet xmlns="http://schemas.openxmlformats.org/spreadsheetml/2006/main">
  <numFmts count="3">
    <numFmt numFmtId="164" formatCode="&quot;AED&quot; #,##0.0;[Red](&quot;AED&quot; #,##0.0);-"/>
    <numFmt numFmtId="165" formatCode="0.0%"/>
    <numFmt numFmtId="166" formatCode="&quot;USD&quot; #,##0.0;[Red](&quot;USD&quot; #,##0.0);-"/>
  </numFmts>
  <fonts count="7">
    <font>
      <name val="Calibri"/>
      <family val="2"/>
      <color theme="1"/>
      <sz val="11"/>
      <scheme val="minor"/>
    </font>
    <font>
      <b val="1"/>
      <color rgb="001F1F1F"/>
      <sz val="14"/>
    </font>
    <font>
      <b val="1"/>
      <color rgb="001F1F1F"/>
      <sz val="11"/>
    </font>
    <font>
      <b val="1"/>
      <color rgb="00FFFFFF"/>
    </font>
    <font>
      <b val="1"/>
    </font>
    <font>
      <b val="1"/>
      <sz val="14"/>
    </font>
    <font/>
  </fonts>
  <fills count="7">
    <fill>
      <patternFill/>
    </fill>
    <fill>
      <patternFill patternType="gray125"/>
    </fill>
    <fill>
      <patternFill patternType="solid">
        <fgColor rgb="001F4E78"/>
      </patternFill>
    </fill>
    <fill>
      <patternFill patternType="solid">
        <fgColor rgb="00E2F0D9"/>
      </patternFill>
    </fill>
    <fill>
      <patternFill patternType="solid">
        <fgColor rgb="00FFF2CC"/>
      </patternFill>
    </fill>
    <fill>
      <patternFill patternType="solid">
        <fgColor rgb="00F4CCCC"/>
      </patternFill>
    </fill>
    <fill>
      <patternFill patternType="solid">
        <fgColor rgb="00D9EAD3"/>
      </patternFill>
    </fill>
  </fills>
  <borders count="2">
    <border>
      <left/>
      <right/>
      <top/>
      <bottom/>
      <diagonal/>
    </border>
    <border>
      <left style="thin">
        <color rgb="00B7C3D0"/>
      </left>
      <right style="thin">
        <color rgb="00B7C3D0"/>
      </right>
      <top style="thin">
        <color rgb="00B7C3D0"/>
      </top>
      <bottom style="thin">
        <color rgb="00B7C3D0"/>
      </bottom>
    </border>
  </borders>
  <cellStyleXfs count="1">
    <xf numFmtId="0" fontId="0" fillId="0" borderId="0"/>
  </cellStyleXfs>
  <cellXfs count="28">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2" borderId="1" applyAlignment="1" pivotButton="0" quotePrefix="0" xfId="0">
      <alignment horizontal="center" vertical="center" wrapText="1"/>
    </xf>
    <xf numFmtId="0" fontId="4" fillId="0" borderId="1" applyAlignment="1" pivotButton="0" quotePrefix="0" xfId="0">
      <alignment horizontal="left" vertical="center" wrapText="1"/>
    </xf>
    <xf numFmtId="164" fontId="0" fillId="0" borderId="1" applyAlignment="1" pivotButton="0" quotePrefix="0" xfId="0">
      <alignment horizontal="right"/>
    </xf>
    <xf numFmtId="165" fontId="0" fillId="0" borderId="1" applyAlignment="1" pivotButton="0" quotePrefix="0" xfId="0">
      <alignment horizontal="right"/>
    </xf>
    <xf numFmtId="0" fontId="4" fillId="3" borderId="1" applyAlignment="1" pivotButton="0" quotePrefix="0" xfId="0">
      <alignment horizontal="left" vertical="center" wrapText="1"/>
    </xf>
    <xf numFmtId="164" fontId="0" fillId="0" borderId="1" applyAlignment="1" pivotButton="0" quotePrefix="0" xfId="0">
      <alignment horizontal="left" vertical="center" wrapText="1"/>
    </xf>
    <xf numFmtId="165" fontId="0" fillId="0" borderId="1" applyAlignment="1" pivotButton="0" quotePrefix="0" xfId="0">
      <alignment horizontal="left" vertical="center" wrapText="1"/>
    </xf>
    <xf numFmtId="0" fontId="4" fillId="0" borderId="0" applyAlignment="1" pivotButton="0" quotePrefix="0" xfId="0">
      <alignment horizontal="left" vertical="center" wrapText="1"/>
    </xf>
    <xf numFmtId="0" fontId="0" fillId="0" borderId="0" applyAlignment="1" pivotButton="0" quotePrefix="0" xfId="0">
      <alignment wrapText="1"/>
    </xf>
    <xf numFmtId="0" fontId="5" fillId="0" borderId="0" applyAlignment="1" pivotButton="0" quotePrefix="0" xfId="0">
      <alignment horizontal="left" vertical="center" wrapText="1"/>
    </xf>
    <xf numFmtId="0" fontId="0" fillId="0" borderId="1" applyAlignment="1" pivotButton="0" quotePrefix="0" xfId="0">
      <alignment horizontal="left" vertical="center" wrapText="1"/>
    </xf>
    <xf numFmtId="164" fontId="4" fillId="3" borderId="1" applyAlignment="1" pivotButton="0" quotePrefix="0" xfId="0">
      <alignment horizontal="right"/>
    </xf>
    <xf numFmtId="0" fontId="3" fillId="2" borderId="1" applyAlignment="1" pivotButton="0" quotePrefix="0" xfId="0">
      <alignment horizontal="left" vertical="center" wrapText="1"/>
    </xf>
    <xf numFmtId="164" fontId="4" fillId="3" borderId="1" applyAlignment="1" pivotButton="0" quotePrefix="0" xfId="0">
      <alignment horizontal="left" vertical="center" wrapText="1"/>
    </xf>
    <xf numFmtId="0" fontId="6" fillId="0" borderId="1" applyAlignment="1" pivotButton="0" quotePrefix="0" xfId="0">
      <alignment horizontal="left" vertical="center" wrapText="1"/>
    </xf>
    <xf numFmtId="0" fontId="0" fillId="0"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166" fontId="0" fillId="0" borderId="1" applyAlignment="1" pivotButton="0" quotePrefix="0" xfId="0">
      <alignment horizontal="right"/>
    </xf>
    <xf numFmtId="166" fontId="0" fillId="0" borderId="1" applyAlignment="1" pivotButton="0" quotePrefix="0" xfId="0">
      <alignment horizontal="left" vertical="center" wrapText="1"/>
    </xf>
    <xf numFmtId="166" fontId="4" fillId="3" borderId="1" applyAlignment="1" pivotButton="0" quotePrefix="0" xfId="0">
      <alignment horizontal="right"/>
    </xf>
    <xf numFmtId="166" fontId="4" fillId="3" borderId="1" applyAlignment="1" pivotButton="0" quotePrefix="0" xfId="0">
      <alignment horizontal="left" vertical="center" wrapText="1"/>
    </xf>
    <xf numFmtId="0" fontId="4"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Taxable Income vs Tax Payable</a:t>
            </a:r>
          </a:p>
        </rich>
      </tx>
    </title>
    <plotArea>
      <barChart>
        <barDir val="col"/>
        <grouping val="clustered"/>
        <ser>
          <idx val="0"/>
          <order val="0"/>
          <tx>
            <strRef>
              <f>'1_Corp_Tax_Summary'!C4</f>
            </strRef>
          </tx>
          <spPr>
            <a:ln xmlns:a="http://schemas.openxmlformats.org/drawingml/2006/main">
              <a:prstDash val="solid"/>
            </a:ln>
          </spPr>
          <cat>
            <numRef>
              <f>'1_Corp_Tax_Summary'!$A$5:$A$7</f>
            </numRef>
          </cat>
          <val>
            <numRef>
              <f>'1_Corp_Tax_Summary'!$C$5:$C$7</f>
            </numRef>
          </val>
        </ser>
        <ser>
          <idx val="1"/>
          <order val="1"/>
          <tx>
            <strRef>
              <f>'1_Corp_Tax_Summary'!D4</f>
            </strRef>
          </tx>
          <spPr>
            <a:ln xmlns:a="http://schemas.openxmlformats.org/drawingml/2006/main">
              <a:prstDash val="solid"/>
            </a:ln>
          </spPr>
          <cat>
            <numRef>
              <f>'1_Corp_Tax_Summary'!$A$5:$A$7</f>
            </numRef>
          </cat>
          <val>
            <numRef>
              <f>'1_Corp_Tax_Summary'!$D$5:$D$7</f>
            </numRef>
          </val>
        </ser>
        <ser>
          <idx val="2"/>
          <order val="2"/>
          <tx>
            <strRef>
              <f>'1_Corp_Tax_Summary'!E4</f>
            </strRef>
          </tx>
          <spPr>
            <a:ln xmlns:a="http://schemas.openxmlformats.org/drawingml/2006/main">
              <a:prstDash val="solid"/>
            </a:ln>
          </spPr>
          <cat>
            <numRef>
              <f>'1_Corp_Tax_Summary'!$A$5:$A$7</f>
            </numRef>
          </cat>
          <val>
            <numRef>
              <f>'1_Corp_Tax_Summary'!$E$5:$E$7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USD m</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OpenAI</author>
  </authors>
  <commentList>
    <comment ref="A1" authorId="0" shapeId="0">
      <text>
        <t>Illustrative schedule prepared from user-provided company context and standard UAE real-estate tax diligence assumptions. This is not an actual filed return.</t>
      </text>
    </comment>
    <comment ref="B5" authorId="0" shapeId="0">
      <text>
        <t>USD presentation only. Underlying UAE statutory books and returns are ordinarily in AED. AED/USD translation anchored to CBUAE reference rate of 3.6725 AED per USD. Source: https://www.centralbank.ae/en/forex-eibor/exchange-rates/</t>
      </text>
    </comment>
    <comment ref="C5" authorId="0" shapeId="0">
      <text>
        <t>USD presentation only. Underlying UAE statutory books and returns are ordinarily in AED. AED/USD translation anchored to CBUAE reference rate of 3.6725 AED per USD. Source: https://www.centralbank.ae/en/forex-eibor/exchange-rates/</t>
      </text>
    </comment>
    <comment ref="D5" authorId="0" shapeId="0">
      <text>
        <t>For a calendar-year UAE taxpayer, FY2021–FY2023 generally precede the first current Corporate Tax return period. Current CT payable shown as nil for technical consistency. Source: https://tax.gov.ae/en/media.centre/news/Corporate.Tax.Public.Clarification.on.the.First.Tax.Period.aspx</t>
      </text>
    </comment>
    <comment ref="E5" authorId="0" shapeId="0">
      <text>
        <t>For a calendar-year UAE taxpayer, FY2021–FY2023 generally precede the first current Corporate Tax return period. Current CT payable shown as nil for technical consistency. Source: https://tax.gov.ae/en/media.centre/news/Corporate.Tax.Public.Clarification.on.the.First.Tax.Period.aspx</t>
      </text>
    </comment>
    <comment ref="B6" authorId="0" shapeId="0">
      <text>
        <t>USD presentation only. Underlying UAE statutory books and returns are ordinarily in AED. AED/USD translation anchored to CBUAE reference rate of 3.6725 AED per USD. Source: https://www.centralbank.ae/en/forex-eibor/exchange-rates/</t>
      </text>
    </comment>
    <comment ref="C6" authorId="0" shapeId="0">
      <text>
        <t>USD presentation only. Underlying UAE statutory books and returns are ordinarily in AED. AED/USD translation anchored to CBUAE reference rate of 3.6725 AED per USD. Source: https://www.centralbank.ae/en/forex-eibor/exchange-rates/</t>
      </text>
    </comment>
    <comment ref="D6" authorId="0" shapeId="0">
      <text>
        <t>For a calendar-year UAE taxpayer, FY2021–FY2023 generally precede the first current Corporate Tax return period. Current CT payable shown as nil for technical consistency. Source: https://tax.gov.ae/en/media.centre/news/Corporate.Tax.Public.Clarification.on.the.First.Tax.Period.aspx</t>
      </text>
    </comment>
    <comment ref="E6" authorId="0" shapeId="0">
      <text>
        <t>For a calendar-year UAE taxpayer, FY2021–FY2023 generally precede the first current Corporate Tax return period. Current CT payable shown as nil for technical consistency. Source: https://tax.gov.ae/en/media.centre/news/Corporate.Tax.Public.Clarification.on.the.First.Tax.Period.aspx</t>
      </text>
    </comment>
    <comment ref="B7" authorId="0" shapeId="0">
      <text>
        <t>USD presentation only. Underlying UAE statutory books and returns are ordinarily in AED. AED/USD translation anchored to CBUAE reference rate of 3.6725 AED per USD. Source: https://www.centralbank.ae/en/forex-eibor/exchange-rates/</t>
      </text>
    </comment>
    <comment ref="C7" authorId="0" shapeId="0">
      <text>
        <t>USD presentation only. Underlying UAE statutory books and returns are ordinarily in AED. AED/USD translation anchored to CBUAE reference rate of 3.6725 AED per USD. Source: https://www.centralbank.ae/en/forex-eibor/exchange-rates/</t>
      </text>
    </comment>
    <comment ref="D7" authorId="0" shapeId="0">
      <text>
        <t>For a calendar-year UAE taxpayer, FY2021–FY2023 generally precede the first current Corporate Tax return period. Current CT payable shown as nil for technical consistency. Source: https://tax.gov.ae/en/media.centre/news/Corporate.Tax.Public.Clarification.on.the.First.Tax.Period.aspx</t>
      </text>
    </comment>
    <comment ref="E7" authorId="0" shapeId="0">
      <text>
        <t>For a calendar-year UAE taxpayer, FY2021–FY2023 generally precede the first current Corporate Tax return period. Current CT payable shown as nil for technical consistency. Source: https://tax.gov.ae/en/media.centre/news/Corporate.Tax.Public.Clarification.on.the.First.Tax.Period.aspx</t>
      </text>
    </comment>
  </commentList>
</comments>
</file>

<file path=xl/comments/comment2.xml><?xml version="1.0" encoding="utf-8"?>
<comments xmlns="http://schemas.openxmlformats.org/spreadsheetml/2006/main">
  <authors>
    <author>OpenAI</author>
  </authors>
  <commentList>
    <comment ref="A1" authorId="0" shapeId="0">
      <text>
        <t>Illustrative schedule prepared from user-provided company context and standard UAE real-estate tax diligence assumptions. This is not an actual filed return.</t>
      </text>
    </comment>
    <comment ref="B4" authorId="0" shapeId="0">
      <text>
        <t>USD presentation only. Underlying UAE statutory books and returns are ordinarily in AED. AED/USD translation anchored to CBUAE reference rate of 3.6725 AED per USD. Source: https://www.centralbank.ae/en/forex-eibor/exchange-rates/</t>
      </text>
    </comment>
    <comment ref="C4" authorId="0" shapeId="0">
      <text>
        <t>USD presentation only. Underlying UAE statutory books and returns are ordinarily in AED. AED/USD translation anchored to CBUAE reference rate of 3.6725 AED per USD. Source: https://www.centralbank.ae/en/forex-eibor/exchange-rates/</t>
      </text>
    </comment>
    <comment ref="D4" authorId="0" shapeId="0">
      <text>
        <t>USD presentation only. Underlying UAE statutory books and returns are ordinarily in AED. AED/USD translation anchored to CBUAE reference rate of 3.6725 AED per USD. Source: https://www.centralbank.ae/en/forex-eibor/exchange-rates/</t>
      </text>
    </comment>
    <comment ref="B8" authorId="0" shapeId="0">
      <text>
        <t>USD presentation only. Underlying UAE statutory books and returns are ordinarily in AED. AED/USD translation anchored to CBUAE reference rate of 3.6725 AED per USD. Source: https://www.centralbank.ae/en/forex-eibor/exchange-rates/</t>
      </text>
    </comment>
    <comment ref="C8" authorId="0" shapeId="0">
      <text>
        <t>USD presentation only. Underlying UAE statutory books and returns are ordinarily in AED. AED/USD translation anchored to CBUAE reference rate of 3.6725 AED per USD. Source: https://www.centralbank.ae/en/forex-eibor/exchange-rates/</t>
      </text>
    </comment>
    <comment ref="D8" authorId="0" shapeId="0">
      <text>
        <t>USD presentation only. Underlying UAE statutory books and returns are ordinarily in AED. AED/USD translation anchored to CBUAE reference rate of 3.6725 AED per USD. Source: https://www.centralbank.ae/en/forex-eibor/exchange-rates/</t>
      </text>
    </comment>
  </commentList>
</comments>
</file>

<file path=xl/comments/comment3.xml><?xml version="1.0" encoding="utf-8"?>
<comments xmlns="http://schemas.openxmlformats.org/spreadsheetml/2006/main">
  <authors>
    <author>OpenAI</author>
  </authors>
  <commentList>
    <comment ref="A1" authorId="0" shapeId="0">
      <text>
        <t>Illustrative schedule prepared from user-provided company context and standard UAE real-estate tax diligence assumptions. This is not an actual filed return.</t>
      </text>
    </comment>
    <comment ref="B4" authorId="0" shapeId="0">
      <text>
        <t>Illustrative USD presentation of UAE VAT positions. Official VAT filings are governed by FTA rules; standard UAE VAT rate is 5%. Sources: https://tax.gov.ae/en/taxes/vat.aspx ; https://tax.gov.ae/en/taxes/Vat/vat.topics/filing.vat.returns.and.making.payments.aspx</t>
      </text>
    </comment>
    <comment ref="C4" authorId="0" shapeId="0">
      <text>
        <t>Illustrative USD presentation of UAE VAT positions. Official VAT filings are governed by FTA rules; standard UAE VAT rate is 5%. Sources: https://tax.gov.ae/en/taxes/vat.aspx ; https://tax.gov.ae/en/taxes/Vat/vat.topics/filing.vat.returns.and.making.payments.aspx</t>
      </text>
    </comment>
    <comment ref="D4" authorId="0" shapeId="0">
      <text>
        <t>Illustrative USD presentation of UAE VAT positions. Official VAT filings are governed by FTA rules; standard UAE VAT rate is 5%. Sources: https://tax.gov.ae/en/taxes/vat.aspx ; https://tax.gov.ae/en/taxes/Vat/vat.topics/filing.vat.returns.and.making.payments.aspx</t>
      </text>
    </comment>
    <comment ref="B5" authorId="0" shapeId="0">
      <text>
        <t>Illustrative USD presentation of UAE VAT positions. Official VAT filings are governed by FTA rules; standard UAE VAT rate is 5%. Sources: https://tax.gov.ae/en/taxes/vat.aspx ; https://tax.gov.ae/en/taxes/Vat/vat.topics/filing.vat.returns.and.making.payments.aspx</t>
      </text>
    </comment>
    <comment ref="C5" authorId="0" shapeId="0">
      <text>
        <t>Illustrative USD presentation of UAE VAT positions. Official VAT filings are governed by FTA rules; standard UAE VAT rate is 5%. Sources: https://tax.gov.ae/en/taxes/vat.aspx ; https://tax.gov.ae/en/taxes/Vat/vat.topics/filing.vat.returns.and.making.payments.aspx</t>
      </text>
    </comment>
    <comment ref="D5" authorId="0" shapeId="0">
      <text>
        <t>Illustrative USD presentation of UAE VAT positions. Official VAT filings are governed by FTA rules; standard UAE VAT rate is 5%. Sources: https://tax.gov.ae/en/taxes/vat.aspx ; https://tax.gov.ae/en/taxes/Vat/vat.topics/filing.vat.returns.and.making.payments.aspx</t>
      </text>
    </comment>
    <comment ref="B6" authorId="0" shapeId="0">
      <text>
        <t>Illustrative USD presentation of UAE VAT positions. Official VAT filings are governed by FTA rules; standard UAE VAT rate is 5%. Sources: https://tax.gov.ae/en/taxes/vat.aspx ; https://tax.gov.ae/en/taxes/Vat/vat.topics/filing.vat.returns.and.making.payments.aspx</t>
      </text>
    </comment>
    <comment ref="C6" authorId="0" shapeId="0">
      <text>
        <t>Illustrative USD presentation of UAE VAT positions. Official VAT filings are governed by FTA rules; standard UAE VAT rate is 5%. Sources: https://tax.gov.ae/en/taxes/vat.aspx ; https://tax.gov.ae/en/taxes/Vat/vat.topics/filing.vat.returns.and.making.payments.aspx</t>
      </text>
    </comment>
    <comment ref="D6" authorId="0" shapeId="0">
      <text>
        <t>Illustrative USD presentation of UAE VAT positions. Official VAT filings are governed by FTA rules; standard UAE VAT rate is 5%. Sources: https://tax.gov.ae/en/taxes/vat.aspx ; https://tax.gov.ae/en/taxes/Vat/vat.topics/filing.vat.returns.and.making.payments.aspx</t>
      </text>
    </comment>
  </commentList>
</comments>
</file>

<file path=xl/comments/comment4.xml><?xml version="1.0" encoding="utf-8"?>
<comments xmlns="http://schemas.openxmlformats.org/spreadsheetml/2006/main">
  <authors>
    <author>OpenAI</author>
  </authors>
  <commentList>
    <comment ref="A1" authorId="0" shapeId="0">
      <text>
        <t>Illustrative schedule prepared from user-provided company context and standard UAE real-estate tax diligence assumptions. This is not an actual filed return.</t>
      </text>
    </comment>
    <comment ref="B4" authorId="0" shapeId="0">
      <text>
        <t>USD presentation only. Underlying UAE statutory books and returns are ordinarily in AED. AED/USD translation anchored to CBUAE reference rate of 3.6725 AED per USD. Source: https://www.centralbank.ae/en/forex-eibor/exchange-rates/</t>
      </text>
    </comment>
    <comment ref="C4" authorId="0" shapeId="0">
      <text>
        <t>USD presentation only. Underlying UAE statutory books and returns are ordinarily in AED. AED/USD translation anchored to CBUAE reference rate of 3.6725 AED per USD. Source: https://www.centralbank.ae/en/forex-eibor/exchange-rates/</t>
      </text>
    </comment>
    <comment ref="D4" authorId="0" shapeId="0">
      <text>
        <t>USD presentation only. Underlying UAE statutory books and returns are ordinarily in AED. AED/USD translation anchored to CBUAE reference rate of 3.6725 AED per USD. Source: https://www.centralbank.ae/en/forex-eibor/exchange-rates/</t>
      </text>
    </comment>
    <comment ref="E4" authorId="0" shapeId="0">
      <text>
        <t>USD presentation only. Underlying UAE statutory books and returns are ordinarily in AED. AED/USD translation anchored to CBUAE reference rate of 3.6725 AED per USD. Source: https://www.centralbank.ae/en/forex-eibor/exchange-rates/</t>
      </text>
    </comment>
  </commentList>
</comments>
</file>

<file path=xl/comments/comment5.xml><?xml version="1.0" encoding="utf-8"?>
<comments xmlns="http://schemas.openxmlformats.org/spreadsheetml/2006/main">
  <authors>
    <author>OpenAI</author>
  </authors>
  <commentList>
    <comment ref="A1" authorId="0" shapeId="0">
      <text>
        <t>Illustrative schedule prepared from user-provided company context and standard UAE real-estate tax diligence assumptions. This is not an actual filed return.</t>
      </text>
    </comment>
    <comment ref="B4" authorId="0" shapeId="0">
      <text>
        <t>USD presentation only. Underlying UAE statutory books and returns are ordinarily in AED. AED/USD translation anchored to CBUAE reference rate of 3.6725 AED per USD. Source: https://www.centralbank.ae/en/forex-eibor/exchange-rates/</t>
      </text>
    </comment>
    <comment ref="C4" authorId="0" shapeId="0">
      <text>
        <t>USD presentation only. Underlying UAE statutory books and returns are ordinarily in AED. AED/USD translation anchored to CBUAE reference rate of 3.6725 AED per USD. Source: https://www.centralbank.ae/en/forex-eibor/exchange-rates/</t>
      </text>
    </comment>
    <comment ref="D4" authorId="0" shapeId="0">
      <text>
        <t>USD presentation only. Underlying UAE statutory books and returns are ordinarily in AED. AED/USD translation anchored to CBUAE reference rate of 3.6725 AED per USD. Source: https://www.centralbank.ae/en/forex-eibor/exchange-rates/</t>
      </text>
    </comment>
    <comment ref="E4" authorId="0" shapeId="0">
      <text>
        <t>USD presentation only. Underlying UAE statutory books and returns are ordinarily in AED. AED/USD translation anchored to CBUAE reference rate of 3.6725 AED per USD. Source: https://www.centralbank.ae/en/forex-eibor/exchange-rates/</t>
      </text>
    </comment>
    <comment ref="F4" authorId="0" shapeId="0">
      <text>
        <t>USD presentation only. Underlying UAE statutory books and returns are ordinarily in AED. AED/USD translation anchored to CBUAE reference rate of 3.6725 AED per USD. Source: https://www.centralbank.ae/en/forex-eibor/exchange-rates/</t>
      </text>
    </comment>
  </commentList>
</comments>
</file>

<file path=xl/comments/comment6.xml><?xml version="1.0" encoding="utf-8"?>
<comments xmlns="http://schemas.openxmlformats.org/spreadsheetml/2006/main">
  <authors>
    <author>OpenAI</author>
  </authors>
  <commentList>
    <comment ref="A1" authorId="0" shapeId="0">
      <text>
        <t>Illustrative schedule prepared from user-provided company context and standard UAE real-estate tax diligence assumptions. This is not an actual filed return.</t>
      </text>
    </comment>
  </commentList>
</comments>
</file>

<file path=xl/comments/comment7.xml><?xml version="1.0" encoding="utf-8"?>
<comments xmlns="http://schemas.openxmlformats.org/spreadsheetml/2006/main">
  <authors>
    <author>OpenAI</author>
  </authors>
  <commentList>
    <comment ref="A1" authorId="0" shapeId="0">
      <text>
        <t>Illustrative schedule prepared from user-provided company context and standard UAE real-estate tax diligence assumptions. This is not an actual filed return.</t>
      </text>
    </comment>
    <comment ref="C4" authorId="0" shapeId="0">
      <text>
        <t>USD presentation only. Underlying UAE statutory books and returns are ordinarily in AED. AED/USD translation anchored to CBUAE reference rate of 3.6725 AED per USD. Source: https://www.centralbank.ae/en/forex-eibor/exchange-rates/</t>
      </text>
    </comment>
    <comment ref="C5" authorId="0" shapeId="0">
      <text>
        <t>USD presentation only. Underlying UAE statutory books and returns are ordinarily in AED. AED/USD translation anchored to CBUAE reference rate of 3.6725 AED per USD. Source: https://www.centralbank.ae/en/forex-eibor/exchange-rates/</t>
      </text>
    </comment>
    <comment ref="C6" authorId="0" shapeId="0">
      <text>
        <t>USD presentation only. Underlying UAE statutory books and returns are ordinarily in AED. AED/USD translation anchored to CBUAE reference rate of 3.6725 AED per USD. Source: https://www.centralbank.ae/en/forex-eibor/exchange-rates/</t>
      </text>
    </comment>
    <comment ref="C7" authorId="0" shapeId="0">
      <text>
        <t>USD presentation only. Underlying UAE statutory books and returns are ordinarily in AED. AED/USD translation anchored to CBUAE reference rate of 3.6725 AED per USD. Source: https://www.centralbank.ae/en/forex-eibor/exchange-rates/</t>
      </text>
    </comment>
    <comment ref="C8" authorId="0" shapeId="0">
      <text>
        <t>USD presentation only. Underlying UAE statutory books and returns are ordinarily in AED. AED/USD translation anchored to CBUAE reference rate of 3.6725 AED per USD. Source: https://www.centralbank.ae/en/forex-eibor/exchange-rates/</t>
      </text>
    </comment>
    <comment ref="C9" authorId="0" shapeId="0">
      <text>
        <t>USD presentation only. Underlying UAE statutory books and returns are ordinarily in AED. AED/USD translation anchored to CBUAE reference rate of 3.6725 AED per USD. Source: https://www.centralbank.ae/en/forex-eibor/exchange-rates/</t>
      </text>
    </comment>
  </commentList>
</comments>
</file>

<file path=xl/comments/comment8.xml><?xml version="1.0" encoding="utf-8"?>
<comments xmlns="http://schemas.openxmlformats.org/spreadsheetml/2006/main">
  <authors>
    <author>OpenAI</author>
  </authors>
  <commentList>
    <comment ref="A1" authorId="0" shapeId="0">
      <text>
        <t>Illustrative schedule prepared from user-provided company context and standard UAE real-estate tax diligence assumptions. This is not an actual filed return.</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6</col>
      <colOff>0</colOff>
      <row>3</row>
      <rowOff>0</rowOff>
    </from>
    <ext cx="46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6.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7.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8.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sheet1.xml><?xml version="1.0" encoding="utf-8"?>
<worksheet xmlns="http://schemas.openxmlformats.org/spreadsheetml/2006/main">
  <sheetPr>
    <outlinePr summaryBelow="1" summaryRight="1"/>
    <pageSetUpPr/>
  </sheetPr>
  <dimension ref="A1:E14"/>
  <sheetViews>
    <sheetView showGridLines="0" workbookViewId="0">
      <selection activeCell="A1" sqref="A1"/>
    </sheetView>
  </sheetViews>
  <sheetFormatPr baseColWidth="8" defaultRowHeight="15"/>
  <cols>
    <col width="28" customWidth="1" min="1" max="1"/>
    <col width="16" customWidth="1" min="2" max="2"/>
    <col width="16" customWidth="1" min="3" max="3"/>
    <col width="12" customWidth="1" min="4" max="4"/>
    <col width="14" customWidth="1" min="5" max="5"/>
  </cols>
  <sheetData>
    <row r="1">
      <c r="A1" s="1" t="inlineStr">
        <is>
          <t>Federal, State, and Local Tax Returns – Aurelia Developments LLC</t>
        </is>
      </c>
    </row>
    <row r="2">
      <c r="A2" s="2" t="inlineStr">
        <is>
          <t>Corporate Tax Summary (USD presentation; calendar-year UAE taxpayer assumption)</t>
        </is>
      </c>
    </row>
    <row r="4">
      <c r="A4" s="3" t="inlineStr">
        <is>
          <t>Fiscal Year</t>
        </is>
      </c>
      <c r="B4" s="3" t="inlineStr">
        <is>
          <t>Accounting Profit</t>
        </is>
      </c>
      <c r="C4" s="3" t="inlineStr">
        <is>
          <t>Taxable Income</t>
        </is>
      </c>
      <c r="D4" s="3" t="inlineStr">
        <is>
          <t>Tax Rate</t>
        </is>
      </c>
      <c r="E4" s="3" t="inlineStr">
        <is>
          <t>Tax Payable</t>
        </is>
      </c>
    </row>
    <row r="5">
      <c r="A5" s="4" t="inlineStr">
        <is>
          <t>FY2021</t>
        </is>
      </c>
      <c r="B5" s="22" t="n">
        <v>32.4</v>
      </c>
      <c r="C5" s="22" t="n">
        <v>18</v>
      </c>
      <c r="D5" s="6" t="n">
        <v>0</v>
      </c>
      <c r="E5" s="22" t="n">
        <v>0</v>
      </c>
    </row>
    <row r="6">
      <c r="A6" s="4" t="inlineStr">
        <is>
          <t>FY2022</t>
        </is>
      </c>
      <c r="B6" s="22" t="n">
        <v>58.9</v>
      </c>
      <c r="C6" s="22" t="n">
        <v>42.5</v>
      </c>
      <c r="D6" s="6" t="n">
        <v>0</v>
      </c>
      <c r="E6" s="22" t="n">
        <v>0</v>
      </c>
    </row>
    <row r="7">
      <c r="A7" s="4" t="inlineStr">
        <is>
          <t>FY2023</t>
        </is>
      </c>
      <c r="B7" s="22" t="n">
        <v>112.6</v>
      </c>
      <c r="C7" s="22" t="n">
        <v>96</v>
      </c>
      <c r="D7" s="6" t="n">
        <v>0</v>
      </c>
      <c r="E7" s="22" t="n">
        <v>0</v>
      </c>
    </row>
    <row r="9">
      <c r="A9" s="7" t="inlineStr">
        <is>
          <t>3-Year Total / Average</t>
        </is>
      </c>
      <c r="B9" s="23">
        <f>SUM(B5:B7)</f>
        <v/>
      </c>
      <c r="C9" s="23">
        <f>SUM(C5:C7)</f>
        <v/>
      </c>
      <c r="D9" s="9">
        <f>AVERAGE(D5:D7)</f>
        <v/>
      </c>
      <c r="E9" s="23">
        <f>SUM(E5:E7)</f>
        <v/>
      </c>
    </row>
    <row r="11" ht="36" customHeight="1">
      <c r="A11" s="26" t="inlineStr">
        <is>
          <t>Technical notes</t>
        </is>
      </c>
    </row>
    <row r="12" ht="36" customHeight="1">
      <c r="A12" s="27" t="inlineStr">
        <is>
          <t>FY2021–FY2023 shown as pre-current UAE Corporate Tax return years for a calendar-year taxpayer; current tax payable assumed nil.</t>
        </is>
      </c>
    </row>
    <row r="13" ht="36" customHeight="1">
      <c r="A13" s="27" t="inlineStr">
        <is>
          <t>Taxable income figures are diligence-style tax-basis bridges to support future-state CT analysis, not evidence of a filed current CT return.</t>
        </is>
      </c>
    </row>
    <row r="14" ht="36" customHeight="1">
      <c r="A14" s="27" t="inlineStr">
        <is>
          <t>USD amounts are management translation values; statutory books/returns in the UAE are ordinarily maintained/filed in AED.</t>
        </is>
      </c>
    </row>
  </sheetData>
  <mergeCells count="5">
    <mergeCell ref="A12:E12"/>
    <mergeCell ref="A2:E2"/>
    <mergeCell ref="A1:E1"/>
    <mergeCell ref="A13:E13"/>
    <mergeCell ref="A14:E14"/>
  </mergeCells>
  <pageMargins left="0.75" right="0.75" top="1" bottom="1" header="0.5" footer="0.5"/>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D14"/>
  <sheetViews>
    <sheetView showGridLines="0" workbookViewId="0">
      <selection activeCell="A1" sqref="A1"/>
    </sheetView>
  </sheetViews>
  <sheetFormatPr baseColWidth="8" defaultRowHeight="15"/>
  <cols>
    <col width="42" customWidth="1" min="1" max="1"/>
    <col width="15" customWidth="1" min="2" max="2"/>
    <col width="15" customWidth="1" min="3" max="3"/>
    <col width="15" customWidth="1" min="4" max="4"/>
  </cols>
  <sheetData>
    <row r="1">
      <c r="A1" s="12" t="inlineStr">
        <is>
          <t>Tax-Basis Bridge / Corporate Tax Readiness Schedule (USD presentation)</t>
        </is>
      </c>
    </row>
    <row r="3">
      <c r="A3" s="3" t="inlineStr">
        <is>
          <t>Adjustment Category</t>
        </is>
      </c>
      <c r="B3" s="3" t="inlineStr">
        <is>
          <t>FY2021</t>
        </is>
      </c>
      <c r="C3" s="3" t="inlineStr">
        <is>
          <t>FY2022</t>
        </is>
      </c>
      <c r="D3" s="3" t="inlineStr">
        <is>
          <t>FY2023</t>
        </is>
      </c>
    </row>
    <row r="4">
      <c r="A4" s="13" t="inlineStr">
        <is>
          <t>Accounting Profit</t>
        </is>
      </c>
      <c r="B4" s="22" t="n">
        <v>32.4</v>
      </c>
      <c r="C4" s="22" t="n">
        <v>58.9</v>
      </c>
      <c r="D4" s="22" t="n">
        <v>112.6</v>
      </c>
    </row>
    <row r="5">
      <c r="A5" s="13" t="inlineStr">
        <is>
          <t>Add: Non-deductible expenses</t>
        </is>
      </c>
      <c r="B5" s="22" t="n">
        <v>6.1</v>
      </c>
      <c r="C5" s="22" t="n">
        <v>8.199999999999999</v>
      </c>
      <c r="D5" s="22" t="n">
        <v>11.4</v>
      </c>
    </row>
    <row r="6">
      <c r="A6" s="13" t="inlineStr">
        <is>
          <t>Less: Capitalization / timing adjustments</t>
        </is>
      </c>
      <c r="B6" s="22" t="n">
        <v>-7.8</v>
      </c>
      <c r="C6" s="22" t="n">
        <v>-10.4</v>
      </c>
      <c r="D6" s="22" t="n">
        <v>-14.7</v>
      </c>
    </row>
    <row r="7">
      <c r="A7" s="13" t="inlineStr">
        <is>
          <t>Other tax adjustments</t>
        </is>
      </c>
      <c r="B7" s="22" t="n">
        <v>-12.7</v>
      </c>
      <c r="C7" s="22" t="n">
        <v>-14.2</v>
      </c>
      <c r="D7" s="22" t="n">
        <v>-13.3</v>
      </c>
    </row>
    <row r="8">
      <c r="A8" s="7" t="inlineStr">
        <is>
          <t>Taxable Income</t>
        </is>
      </c>
      <c r="B8" s="24" t="n">
        <v>18</v>
      </c>
      <c r="C8" s="24" t="n">
        <v>42.5</v>
      </c>
      <c r="D8" s="24" t="n">
        <v>96</v>
      </c>
    </row>
    <row r="11" ht="42" customHeight="1">
      <c r="A11" s="26" t="inlineStr">
        <is>
          <t>Illustrative schedule notes</t>
        </is>
      </c>
    </row>
    <row r="12" ht="42" customHeight="1">
      <c r="A12" s="27" t="inlineStr">
        <is>
          <t>This bridge is presented for diligence and deferred-tax assessment. It is not intended to indicate that a current UAE Corporate Tax return was due for FY2021–FY2023 for a calendar-year taxpayer.</t>
        </is>
      </c>
    </row>
    <row r="13" ht="42" customHeight="1">
      <c r="A13" s="27" t="inlineStr">
        <is>
          <t>Amounts are management translation values in USD; native UAE accounting records and statutory filings would ordinarily be in AED.</t>
        </is>
      </c>
    </row>
    <row r="14">
      <c r="A14" s="11" t="inlineStr">
        <is>
          <t>Other tax adjustments include exempt income assumptions, entity-level true-ups, and additional book-to-tax bridge items needed to align with an illustrative tax basis.</t>
        </is>
      </c>
    </row>
  </sheetData>
  <mergeCells count="3">
    <mergeCell ref="A12:D12"/>
    <mergeCell ref="A13:D13"/>
    <mergeCell ref="A14:D14"/>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1"/>
  <sheetViews>
    <sheetView showGridLines="0" workbookViewId="0">
      <selection activeCell="A1" sqref="A1"/>
    </sheetView>
  </sheetViews>
  <sheetFormatPr baseColWidth="8" defaultRowHeight="15"/>
  <cols>
    <col width="36" customWidth="1" min="1" max="1"/>
    <col width="16" customWidth="1" min="2" max="2"/>
    <col width="16" customWidth="1" min="3" max="3"/>
    <col width="22" customWidth="1" min="4" max="4"/>
  </cols>
  <sheetData>
    <row r="1">
      <c r="A1" s="12" t="inlineStr">
        <is>
          <t>VAT Summary (USD presentation)</t>
        </is>
      </c>
    </row>
    <row r="3">
      <c r="A3" s="15" t="inlineStr">
        <is>
          <t>Year</t>
        </is>
      </c>
      <c r="B3" s="15" t="inlineStr">
        <is>
          <t>Output VAT</t>
        </is>
      </c>
      <c r="C3" s="15" t="inlineStr">
        <is>
          <t>Input VAT</t>
        </is>
      </c>
      <c r="D3" s="15" t="inlineStr">
        <is>
          <t>Net VAT Payable / (Refund)</t>
        </is>
      </c>
    </row>
    <row r="4">
      <c r="A4" s="4" t="inlineStr">
        <is>
          <t>FY2021</t>
        </is>
      </c>
      <c r="B4" s="22" t="n">
        <v>11.3</v>
      </c>
      <c r="C4" s="22" t="n">
        <v>17.7</v>
      </c>
      <c r="D4" s="22" t="n">
        <v>-6.399999999999999</v>
      </c>
    </row>
    <row r="5">
      <c r="A5" s="4" t="inlineStr">
        <is>
          <t>FY2022</t>
        </is>
      </c>
      <c r="B5" s="22" t="n">
        <v>18.7</v>
      </c>
      <c r="C5" s="22" t="n">
        <v>20.8</v>
      </c>
      <c r="D5" s="22" t="n">
        <v>-2.100000000000001</v>
      </c>
    </row>
    <row r="6">
      <c r="A6" s="4" t="inlineStr">
        <is>
          <t>FY2023</t>
        </is>
      </c>
      <c r="B6" s="22" t="n">
        <v>44.2</v>
      </c>
      <c r="C6" s="22" t="n">
        <v>39.4</v>
      </c>
      <c r="D6" s="22" t="n">
        <v>4.800000000000004</v>
      </c>
    </row>
    <row r="9" ht="38" customHeight="1">
      <c r="A9" s="26" t="inlineStr">
        <is>
          <t>VAT and translation commentary</t>
        </is>
      </c>
    </row>
    <row r="10" ht="38" customHeight="1">
      <c r="A10" s="27" t="inlineStr">
        <is>
          <t>VAT amounts are translated to USD for diligence readability. UAE VAT returns are filed in accordance with FTA procedures and underlying source data is ordinarily maintained in AED.</t>
        </is>
      </c>
    </row>
    <row r="11" ht="38" customHeight="1">
      <c r="A11" s="27" t="inlineStr">
        <is>
          <t>Standard UAE VAT rate is 5%; developers must reconcile output VAT, recoverable input VAT, and any refund or payment position to filed returns.</t>
        </is>
      </c>
    </row>
  </sheetData>
  <mergeCells count="2">
    <mergeCell ref="A10:D10"/>
    <mergeCell ref="A11:D11"/>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9"/>
  <sheetViews>
    <sheetView showGridLines="0" workbookViewId="0">
      <selection activeCell="A1" sqref="A1"/>
    </sheetView>
  </sheetViews>
  <sheetFormatPr baseColWidth="8" defaultRowHeight="15"/>
  <cols>
    <col width="32" customWidth="1" min="1" max="1"/>
    <col width="18" customWidth="1" min="2" max="2"/>
    <col width="16" customWidth="1" min="3" max="3"/>
    <col width="14" customWidth="1" min="4" max="4"/>
    <col width="16" customWidth="1" min="5" max="5"/>
  </cols>
  <sheetData>
    <row r="1">
      <c r="A1" s="12" t="inlineStr">
        <is>
          <t>VAT by Project (FY2023 illustrative, USD presentation)</t>
        </is>
      </c>
    </row>
    <row r="3">
      <c r="A3" s="15" t="inlineStr">
        <is>
          <t>Development Project</t>
        </is>
      </c>
      <c r="B3" s="15" t="inlineStr">
        <is>
          <t>Taxable Revenue FY2023</t>
        </is>
      </c>
      <c r="C3" s="15" t="inlineStr">
        <is>
          <t>VAT Collected</t>
        </is>
      </c>
      <c r="D3" s="15" t="inlineStr">
        <is>
          <t>VAT Paid</t>
        </is>
      </c>
      <c r="E3" s="15" t="inlineStr">
        <is>
          <t>Net VAT Position</t>
        </is>
      </c>
    </row>
    <row r="4">
      <c r="A4" s="13" t="inlineStr">
        <is>
          <t>Marina Residences Tower</t>
        </is>
      </c>
      <c r="B4" s="22" t="n">
        <v>420</v>
      </c>
      <c r="C4" s="22" t="n">
        <v>21</v>
      </c>
      <c r="D4" s="22" t="n">
        <v>14.8</v>
      </c>
      <c r="E4" s="22" t="n">
        <v>6.199999999999999</v>
      </c>
    </row>
    <row r="5">
      <c r="A5" s="13" t="inlineStr">
        <is>
          <t>Palm Waterfront Villas</t>
        </is>
      </c>
      <c r="B5" s="22" t="n">
        <v>285</v>
      </c>
      <c r="C5" s="22" t="n">
        <v>14.25</v>
      </c>
      <c r="D5" s="22" t="n">
        <v>12.1</v>
      </c>
      <c r="E5" s="22" t="n">
        <v>2.15</v>
      </c>
    </row>
    <row r="6">
      <c r="A6" s="13" t="inlineStr">
        <is>
          <t>Downtown Branded Residences</t>
        </is>
      </c>
      <c r="B6" s="22" t="n">
        <v>365</v>
      </c>
      <c r="C6" s="22" t="n">
        <v>18.25</v>
      </c>
      <c r="D6" s="22" t="n">
        <v>8.6</v>
      </c>
      <c r="E6" s="22" t="n">
        <v>9.65</v>
      </c>
    </row>
    <row r="7">
      <c r="A7" s="13" t="inlineStr">
        <is>
          <t>Jumeirah Mixed-Use Development</t>
        </is>
      </c>
      <c r="B7" s="22" t="n">
        <v>250</v>
      </c>
      <c r="C7" s="22" t="n">
        <v>12.5</v>
      </c>
      <c r="D7" s="22" t="n">
        <v>3.9</v>
      </c>
      <c r="E7" s="22" t="n">
        <v>8.6</v>
      </c>
    </row>
    <row r="9">
      <c r="A9" s="7" t="inlineStr">
        <is>
          <t>Total</t>
        </is>
      </c>
      <c r="B9" s="25">
        <f>SUM(B4:B7)</f>
        <v/>
      </c>
      <c r="C9" s="25">
        <f>SUM(C4:C7)</f>
        <v/>
      </c>
      <c r="D9" s="25">
        <f>SUM(D4:D7)</f>
        <v/>
      </c>
      <c r="E9" s="25">
        <f>SUM(E4:E7)</f>
        <v/>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F9"/>
  <sheetViews>
    <sheetView showGridLines="0" workbookViewId="0">
      <selection activeCell="A1" sqref="A1"/>
    </sheetView>
  </sheetViews>
  <sheetFormatPr baseColWidth="8" defaultRowHeight="15"/>
  <cols>
    <col width="32" customWidth="1" min="1" max="1"/>
    <col width="18" customWidth="1" min="2" max="2"/>
    <col width="14" customWidth="1" min="3" max="3"/>
    <col width="16" customWidth="1" min="4" max="4"/>
    <col width="20" customWidth="1" min="5" max="5"/>
    <col width="18" customWidth="1" min="6" max="6"/>
  </cols>
  <sheetData>
    <row r="1">
      <c r="A1" s="12" t="inlineStr">
        <is>
          <t>Dubai Real Estate Transaction Taxes and Fees (USD presentation)</t>
        </is>
      </c>
    </row>
    <row r="3">
      <c r="A3" s="15" t="inlineStr">
        <is>
          <t>Project</t>
        </is>
      </c>
      <c r="B3" s="15" t="inlineStr">
        <is>
          <t>Land Acquisition Cost</t>
        </is>
      </c>
      <c r="C3" s="15" t="inlineStr">
        <is>
          <t>Transfer Fees</t>
        </is>
      </c>
      <c r="D3" s="15" t="inlineStr">
        <is>
          <t>Registration Fees</t>
        </is>
      </c>
      <c r="E3" s="15" t="inlineStr">
        <is>
          <t>Development / Permit Fees</t>
        </is>
      </c>
      <c r="F3" s="15" t="inlineStr">
        <is>
          <t>Total Statutory Charges</t>
        </is>
      </c>
    </row>
    <row r="4">
      <c r="A4" s="13" t="inlineStr">
        <is>
          <t>Marina Residences Tower</t>
        </is>
      </c>
      <c r="B4" s="22" t="n">
        <v>280</v>
      </c>
      <c r="C4" s="22" t="n">
        <v>11.2</v>
      </c>
      <c r="D4" s="22" t="n">
        <v>3.1</v>
      </c>
      <c r="E4" s="22" t="n">
        <v>4.8</v>
      </c>
      <c r="F4" s="22" t="n">
        <v>19.1</v>
      </c>
    </row>
    <row r="5">
      <c r="A5" s="13" t="inlineStr">
        <is>
          <t>Palm Waterfront Villas</t>
        </is>
      </c>
      <c r="B5" s="22" t="n">
        <v>360</v>
      </c>
      <c r="C5" s="22" t="n">
        <v>14.4</v>
      </c>
      <c r="D5" s="22" t="n">
        <v>3.8</v>
      </c>
      <c r="E5" s="22" t="n">
        <v>5.3</v>
      </c>
      <c r="F5" s="22" t="n">
        <v>23.5</v>
      </c>
    </row>
    <row r="6">
      <c r="A6" s="13" t="inlineStr">
        <is>
          <t>Downtown Branded Residences</t>
        </is>
      </c>
      <c r="B6" s="22" t="n">
        <v>410</v>
      </c>
      <c r="C6" s="22" t="n">
        <v>16.4</v>
      </c>
      <c r="D6" s="22" t="n">
        <v>4.9</v>
      </c>
      <c r="E6" s="22" t="n">
        <v>6.1</v>
      </c>
      <c r="F6" s="22" t="n">
        <v>27.4</v>
      </c>
    </row>
    <row r="7">
      <c r="A7" s="13" t="inlineStr">
        <is>
          <t>Jumeirah Mixed-Use Development</t>
        </is>
      </c>
      <c r="B7" s="22" t="n">
        <v>190</v>
      </c>
      <c r="C7" s="22" t="n">
        <v>7.6</v>
      </c>
      <c r="D7" s="22" t="n">
        <v>2.2</v>
      </c>
      <c r="E7" s="22" t="n">
        <v>3.4</v>
      </c>
      <c r="F7" s="22" t="n">
        <v>13.2</v>
      </c>
    </row>
    <row r="9">
      <c r="A9" s="7" t="inlineStr">
        <is>
          <t>Total</t>
        </is>
      </c>
      <c r="B9" s="25">
        <f>SUM(B4:B7)</f>
        <v/>
      </c>
      <c r="C9" s="25">
        <f>SUM(C4:C7)</f>
        <v/>
      </c>
      <c r="D9" s="25">
        <f>SUM(D4:D7)</f>
        <v/>
      </c>
      <c r="E9" s="25">
        <f>SUM(E4:E7)</f>
        <v/>
      </c>
      <c r="F9" s="25">
        <f>SUM(F4:F7)</f>
        <v/>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D11"/>
  <sheetViews>
    <sheetView showGridLines="0" workbookViewId="0">
      <selection activeCell="A1" sqref="A1"/>
    </sheetView>
  </sheetViews>
  <sheetFormatPr baseColWidth="8" defaultRowHeight="15"/>
  <cols>
    <col width="38" customWidth="1" min="1" max="1"/>
    <col width="16" customWidth="1" min="2" max="2"/>
    <col width="16" customWidth="1" min="3" max="3"/>
    <col width="16" customWidth="1" min="4" max="4"/>
  </cols>
  <sheetData>
    <row r="1">
      <c r="A1" s="12" t="inlineStr">
        <is>
          <t>Deferred Tax Schedule (USD presentation)</t>
        </is>
      </c>
    </row>
    <row r="3">
      <c r="A3" s="15" t="inlineStr">
        <is>
          <t>Tax Asset / Liability</t>
        </is>
      </c>
      <c r="B3" s="15" t="inlineStr">
        <is>
          <t>FY2021</t>
        </is>
      </c>
      <c r="C3" s="15" t="inlineStr">
        <is>
          <t>FY2022</t>
        </is>
      </c>
      <c r="D3" s="15" t="inlineStr">
        <is>
          <t>FY2023</t>
        </is>
      </c>
    </row>
    <row r="4">
      <c r="A4" s="17" t="inlineStr">
        <is>
          <t>Provision timing differences</t>
        </is>
      </c>
      <c r="B4" s="22" t="n">
        <v>0</v>
      </c>
      <c r="C4" s="22" t="n">
        <v>1.1</v>
      </c>
      <c r="D4" s="22" t="n">
        <v>2</v>
      </c>
    </row>
    <row r="5">
      <c r="A5" s="17" t="inlineStr">
        <is>
          <t>Financing cost timing differences</t>
        </is>
      </c>
      <c r="B5" s="22" t="n">
        <v>0</v>
      </c>
      <c r="C5" s="22" t="n">
        <v>-0.3</v>
      </c>
      <c r="D5" s="22" t="n">
        <v>-0.9</v>
      </c>
    </row>
    <row r="6">
      <c r="A6" s="17" t="inlineStr">
        <is>
          <t>Capitalization differences</t>
        </is>
      </c>
      <c r="B6" s="22" t="n">
        <v>0</v>
      </c>
      <c r="C6" s="22" t="n">
        <v>0.8</v>
      </c>
      <c r="D6" s="22" t="n">
        <v>2.7</v>
      </c>
    </row>
    <row r="7">
      <c r="A7" s="17" t="inlineStr">
        <is>
          <t>Tax loss carryforward DTA</t>
        </is>
      </c>
      <c r="B7" s="22" t="n">
        <v>0</v>
      </c>
      <c r="C7" s="22" t="n">
        <v>0.2</v>
      </c>
      <c r="D7" s="22" t="n">
        <v>1.2</v>
      </c>
    </row>
    <row r="8">
      <c r="A8" s="7" t="inlineStr">
        <is>
          <t>Net deferred tax position</t>
        </is>
      </c>
      <c r="B8" s="24">
        <f>SUM(B4:B7)</f>
        <v/>
      </c>
      <c r="C8" s="24">
        <f>SUM(C4:C7)</f>
        <v/>
      </c>
      <c r="D8" s="24">
        <f>SUM(D4:D7)</f>
        <v/>
      </c>
    </row>
    <row r="10" ht="42" customHeight="1">
      <c r="A10" s="27" t="inlineStr">
        <is>
          <t>Deferred tax note</t>
        </is>
      </c>
    </row>
    <row r="11" ht="42" customHeight="1">
      <c r="A11" s="27" t="inlineStr">
        <is>
          <t>Illustrative deferred tax is shown from FY2022 onward on the premise that the UAE Corporate Tax law became relevant for accounting measurement before the first current tax return period began for a calendar-year taxpayer.</t>
        </is>
      </c>
    </row>
  </sheetData>
  <mergeCells count="1">
    <mergeCell ref="A11:D11"/>
  </mergeCell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E9"/>
  <sheetViews>
    <sheetView showGridLines="0" workbookViewId="0">
      <selection activeCell="A1" sqref="A1"/>
    </sheetView>
  </sheetViews>
  <sheetFormatPr baseColWidth="8" defaultRowHeight="15"/>
  <cols>
    <col width="14" customWidth="1" min="1" max="1"/>
    <col width="20" customWidth="1" min="2" max="2"/>
    <col width="14" customWidth="1" min="3" max="3"/>
    <col width="12" customWidth="1" min="4" max="4"/>
    <col width="28" customWidth="1" min="5" max="5"/>
  </cols>
  <sheetData>
    <row r="1">
      <c r="A1" s="12" t="inlineStr">
        <is>
          <t>Tax Payments Register</t>
        </is>
      </c>
    </row>
    <row r="3">
      <c r="A3" s="15" t="inlineStr">
        <is>
          <t>Payment Date</t>
        </is>
      </c>
      <c r="B3" s="15" t="inlineStr">
        <is>
          <t>Tax Type</t>
        </is>
      </c>
      <c r="C3" s="15" t="inlineStr">
        <is>
          <t>Amount</t>
        </is>
      </c>
      <c r="D3" s="15" t="inlineStr">
        <is>
          <t>Fiscal Year</t>
        </is>
      </c>
      <c r="E3" s="15" t="inlineStr">
        <is>
          <t>Comment</t>
        </is>
      </c>
    </row>
    <row r="4">
      <c r="A4" s="13" t="inlineStr">
        <is>
          <t>2021-04-15</t>
        </is>
      </c>
      <c r="B4" s="13" t="inlineStr">
        <is>
          <t>VAT settlement</t>
        </is>
      </c>
      <c r="C4" s="22" t="n">
        <v>2.2</v>
      </c>
      <c r="D4" s="13" t="inlineStr">
        <is>
          <t>FY2021</t>
        </is>
      </c>
      <c r="E4" s="13" t="inlineStr">
        <is>
          <t>Quarterly net settlement</t>
        </is>
      </c>
    </row>
    <row r="5">
      <c r="A5" s="13" t="inlineStr">
        <is>
          <t>2021-09-12</t>
        </is>
      </c>
      <c r="B5" s="13" t="inlineStr">
        <is>
          <t>Dubai transfer fees</t>
        </is>
      </c>
      <c r="C5" s="22" t="n">
        <v>8.699999999999999</v>
      </c>
      <c r="D5" s="13" t="inlineStr">
        <is>
          <t>FY2021</t>
        </is>
      </c>
      <c r="E5" s="13" t="inlineStr">
        <is>
          <t>Land parcel registration</t>
        </is>
      </c>
    </row>
    <row r="6">
      <c r="A6" s="13" t="inlineStr">
        <is>
          <t>2022-03-31</t>
        </is>
      </c>
      <c r="B6" s="13" t="inlineStr">
        <is>
          <t>VAT settlement</t>
        </is>
      </c>
      <c r="C6" s="22" t="n">
        <v>1.5</v>
      </c>
      <c r="D6" s="13" t="inlineStr">
        <is>
          <t>FY2022</t>
        </is>
      </c>
      <c r="E6" s="13" t="inlineStr">
        <is>
          <t>Quarterly net settlement</t>
        </is>
      </c>
    </row>
    <row r="7">
      <c r="A7" s="13" t="inlineStr">
        <is>
          <t>2022-10-05</t>
        </is>
      </c>
      <c r="B7" s="13" t="inlineStr">
        <is>
          <t>Municipality / permit fees</t>
        </is>
      </c>
      <c r="C7" s="22" t="n">
        <v>6.3</v>
      </c>
      <c r="D7" s="13" t="inlineStr">
        <is>
          <t>FY2022</t>
        </is>
      </c>
      <c r="E7" s="13" t="inlineStr">
        <is>
          <t>Project approvals</t>
        </is>
      </c>
    </row>
    <row r="8">
      <c r="A8" s="13" t="inlineStr">
        <is>
          <t>2023-03-31</t>
        </is>
      </c>
      <c r="B8" s="13" t="inlineStr">
        <is>
          <t>VAT settlement</t>
        </is>
      </c>
      <c r="C8" s="22" t="n">
        <v>3.9</v>
      </c>
      <c r="D8" s="13" t="inlineStr">
        <is>
          <t>FY2023</t>
        </is>
      </c>
      <c r="E8" s="13" t="inlineStr">
        <is>
          <t>Quarterly net settlement</t>
        </is>
      </c>
    </row>
    <row r="9">
      <c r="A9" s="13" t="inlineStr">
        <is>
          <t>2023-11-30</t>
        </is>
      </c>
      <c r="B9" s="13" t="inlineStr">
        <is>
          <t>Corporate tax implementation / advisory</t>
        </is>
      </c>
      <c r="C9" s="22" t="n">
        <v>1.1</v>
      </c>
      <c r="D9" s="13" t="inlineStr">
        <is>
          <t>FY2023</t>
        </is>
      </c>
      <c r="E9" s="13" t="inlineStr">
        <is>
          <t>Readiness, registration, and policy implementation support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D9"/>
  <sheetViews>
    <sheetView showGridLines="0" workbookViewId="0">
      <selection activeCell="A1" sqref="A1"/>
    </sheetView>
  </sheetViews>
  <sheetFormatPr baseColWidth="8" defaultRowHeight="15"/>
  <cols>
    <col width="20" customWidth="1" min="1" max="1"/>
    <col width="44" customWidth="1" min="2" max="2"/>
    <col width="12" customWidth="1" min="3" max="3"/>
    <col width="36" customWidth="1" min="4" max="4"/>
  </cols>
  <sheetData>
    <row r="1">
      <c r="A1" s="12" t="inlineStr">
        <is>
          <t>Tax Risk Summary</t>
        </is>
      </c>
    </row>
    <row r="3">
      <c r="A3" s="15" t="inlineStr">
        <is>
          <t>Tax Area</t>
        </is>
      </c>
      <c r="B3" s="15" t="inlineStr">
        <is>
          <t>Risk Description</t>
        </is>
      </c>
      <c r="C3" s="15" t="inlineStr">
        <is>
          <t>Risk Level</t>
        </is>
      </c>
      <c r="D3" s="15" t="inlineStr">
        <is>
          <t>Mitigation / Control</t>
        </is>
      </c>
    </row>
    <row r="4">
      <c r="A4" s="18" t="inlineStr">
        <is>
          <t>Corporate Tax</t>
        </is>
      </c>
      <c r="B4" s="18" t="inlineStr">
        <is>
          <t>Transition from accounting profit reporting to fully supportable taxable income bridge across multiple SPVs.</t>
        </is>
      </c>
      <c r="C4" s="19" t="inlineStr">
        <is>
          <t>Medium</t>
        </is>
      </c>
      <c r="D4" s="18" t="inlineStr">
        <is>
          <t>Annual book-to-tax bridge, entity-level review, external advisor sign-off.</t>
        </is>
      </c>
    </row>
    <row r="5">
      <c r="A5" s="18" t="inlineStr">
        <is>
          <t>VAT</t>
        </is>
      </c>
      <c r="B5" s="18" t="inlineStr">
        <is>
          <t>Input VAT recoverability for mixed-use projects and adequacy of tax invoice support.</t>
        </is>
      </c>
      <c r="C5" s="20" t="inlineStr">
        <is>
          <t>High</t>
        </is>
      </c>
      <c r="D5" s="18" t="inlineStr">
        <is>
          <t>Project coding controls, invoice validation, refund file support packs.</t>
        </is>
      </c>
    </row>
    <row r="6">
      <c r="A6" s="18" t="inlineStr">
        <is>
          <t>Real Estate Fees</t>
        </is>
      </c>
      <c r="B6" s="18" t="inlineStr">
        <is>
          <t>Completeness of capitalization or expensing of land transfer and registration fees.</t>
        </is>
      </c>
      <c r="C6" s="19" t="inlineStr">
        <is>
          <t>Medium</t>
        </is>
      </c>
      <c r="D6" s="18" t="inlineStr">
        <is>
          <t>Transaction checklists and land acquisition reconciliations.</t>
        </is>
      </c>
    </row>
    <row r="7">
      <c r="A7" s="18" t="inlineStr">
        <is>
          <t>Cross-border / JV</t>
        </is>
      </c>
      <c r="B7" s="18" t="inlineStr">
        <is>
          <t>Potential exposure from international investors, service fees, or profit-sharing arrangements.</t>
        </is>
      </c>
      <c r="C7" s="19" t="inlineStr">
        <is>
          <t>Medium</t>
        </is>
      </c>
      <c r="D7" s="18" t="inlineStr">
        <is>
          <t>Legal entity map, contract review, advisor consultation.</t>
        </is>
      </c>
    </row>
    <row r="8">
      <c r="A8" s="18" t="inlineStr">
        <is>
          <t>Governance</t>
        </is>
      </c>
      <c r="B8" s="18" t="inlineStr">
        <is>
          <t>Consistency of tax filings with audited financial statement disclosures and board reporting.</t>
        </is>
      </c>
      <c r="C8" s="21" t="inlineStr">
        <is>
          <t>Low</t>
        </is>
      </c>
      <c r="D8" s="18" t="inlineStr">
        <is>
          <t>Quarterly tax review, close checklist, management certification.</t>
        </is>
      </c>
    </row>
    <row r="9" ht="40" customHeight="1">
      <c r="A9" s="27" t="inlineStr">
        <is>
          <t>USD Presentation / Reporting</t>
        </is>
      </c>
      <c r="B9" s="27" t="inlineStr">
        <is>
          <t>Risk that translated diligence schedules are not clearly reconciled back to statutory AED books, returns, and payment records.</t>
        </is>
      </c>
      <c r="C9" s="27" t="inlineStr">
        <is>
          <t>Medium</t>
        </is>
      </c>
      <c r="D9" s="27" t="inlineStr">
        <is>
          <t>Maintain FX translation memo, bridge to AED trial balances, and rate governance using CBUAE references.</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2026-03-08T05:36:59Z</dcterms:created>
  <dcterms:modified xmlns:dcterms="http://purl.org/dc/terms/" xmlns:xsi="http://www.w3.org/2001/XMLSchema-instance" xsi:type="dcterms:W3CDTF">2026-03-08T05:53:00Z</dcterms:modified>
</cp:coreProperties>
</file>