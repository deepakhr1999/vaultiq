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rshiavijh/Downloads/"/>
    </mc:Choice>
  </mc:AlternateContent>
  <xr:revisionPtr revIDLastSave="0" documentId="13_ncr:1_{510BF1A3-5642-7849-A8B4-5BF6872A5831}" xr6:coauthVersionLast="47" xr6:coauthVersionMax="47" xr10:uidLastSave="{00000000-0000-0000-0000-000000000000}"/>
  <bookViews>
    <workbookView xWindow="0" yWindow="600" windowWidth="28800" windowHeight="17400" activeTab="4" xr2:uid="{00000000-000D-0000-FFFF-FFFF00000000}"/>
  </bookViews>
  <sheets>
    <sheet name="Intercompany Summary" sheetId="1" r:id="rId1"/>
    <sheet name="Service Agreements" sheetId="2" r:id="rId2"/>
    <sheet name="Intercompany Loans" sheetId="3" r:id="rId3"/>
    <sheet name="Cost Allocation" sheetId="4" r:id="rId4"/>
    <sheet name="Benchmarking" sheetId="5" r:id="rId5"/>
    <sheet name="TP Risk Assessment" sheetId="6" r:id="rId6"/>
  </sheets>
  <definedNames>
    <definedName name="_xlnm.Print_Titles" localSheetId="4">Benchmarking!$1:$4</definedName>
    <definedName name="_xlnm.Print_Titles" localSheetId="3">'Cost Allocation'!$1:$4</definedName>
    <definedName name="_xlnm.Print_Titles" localSheetId="2">'Intercompany Loans'!$1:$4</definedName>
    <definedName name="_xlnm.Print_Titles" localSheetId="0">'Intercompany Summary'!$1:$4</definedName>
    <definedName name="_xlnm.Print_Titles" localSheetId="1">'Service Agreements'!$1:$4</definedName>
    <definedName name="_xlnm.Print_Titles" localSheetId="5">'TP Risk Assessment'!$1:$4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D11" i="1"/>
</calcChain>
</file>

<file path=xl/sharedStrings.xml><?xml version="1.0" encoding="utf-8"?>
<sst xmlns="http://schemas.openxmlformats.org/spreadsheetml/2006/main" count="181" uniqueCount="154">
  <si>
    <t>Transfer Pricing Agreements and Intercompany Pricing Policies – Aurelia Developments LLC</t>
  </si>
  <si>
    <t>Illustrative supporting schedules | Amounts in USD | FY2021–FY2023</t>
  </si>
  <si>
    <t>Related Entity</t>
  </si>
  <si>
    <t>Transaction Type</t>
  </si>
  <si>
    <t>Description</t>
  </si>
  <si>
    <t>FY2021 Annual Value (USD)</t>
  </si>
  <si>
    <t>FY2022 Annual Value (USD)</t>
  </si>
  <si>
    <t>FY2023 Annual Value (USD)</t>
  </si>
  <si>
    <t>Aurelia Project Services FZ-LLC</t>
  </si>
  <si>
    <t>Shared services fee</t>
  </si>
  <si>
    <t>Finance, HR, legal, IT and admin support to operating entities</t>
  </si>
  <si>
    <t>Project SPV – Marina Residences</t>
  </si>
  <si>
    <t>Development management fee</t>
  </si>
  <si>
    <t>Project oversight, procurement and development execution support</t>
  </si>
  <si>
    <t>Project SPV – Palm Waterfront Villas</t>
  </si>
  <si>
    <t>Technical coordination and project management services</t>
  </si>
  <si>
    <t>Aurelia Hospitality Brand Services Ltd.</t>
  </si>
  <si>
    <t>Brand/platform support</t>
  </si>
  <si>
    <t>Brand coordination and launch support for branded residences</t>
  </si>
  <si>
    <t>Aurelia Holdings International Ltd.</t>
  </si>
  <si>
    <t>Intercompany loan interest</t>
  </si>
  <si>
    <t>Interest on shareholder / group financing</t>
  </si>
  <si>
    <t>JV Development Platform</t>
  </si>
  <si>
    <t>Reimbursable project support</t>
  </si>
  <si>
    <t>Cost recharge for bid, design and governance support</t>
  </si>
  <si>
    <t>Total intercompany transaction value</t>
  </si>
  <si>
    <t>Service Agreements</t>
  </si>
  <si>
    <t>Summary of principal intercompany service arrangements</t>
  </si>
  <si>
    <t>Entity Providing Service</t>
  </si>
  <si>
    <t>Entity Receiving Service</t>
  </si>
  <si>
    <t>Service Type</t>
  </si>
  <si>
    <t>Pricing Basis</t>
  </si>
  <si>
    <t>FY2023 Fee (USD)</t>
  </si>
  <si>
    <t>Markup / Return</t>
  </si>
  <si>
    <t>Aurelia Developments LLC</t>
  </si>
  <si>
    <t>Corporate shared services</t>
  </si>
  <si>
    <t>Cost base + markup</t>
  </si>
  <si>
    <t>6.5%</t>
  </si>
  <si>
    <t>Marina Residences SPV</t>
  </si>
  <si>
    <t>Development management</t>
  </si>
  <si>
    <t>10.0%</t>
  </si>
  <si>
    <t>Palm Waterfront Villas SPV</t>
  </si>
  <si>
    <t>9.5%</t>
  </si>
  <si>
    <t>Procurement and reporting support</t>
  </si>
  <si>
    <t>7.0%</t>
  </si>
  <si>
    <t>Jumeirah Branded Residences SPV</t>
  </si>
  <si>
    <t>Brand support / marketing platform</t>
  </si>
  <si>
    <t>Royalty-style service fee</t>
  </si>
  <si>
    <t>n/a</t>
  </si>
  <si>
    <t>Intercompany Loans</t>
  </si>
  <si>
    <t>Illustrative financing arrangements subject to arm’s length review</t>
  </si>
  <si>
    <t>Lender Entity</t>
  </si>
  <si>
    <t>Borrower Entity</t>
  </si>
  <si>
    <t>Loan Amount (USD)</t>
  </si>
  <si>
    <t>Interest Rate</t>
  </si>
  <si>
    <t>Outstanding Balance (USD)</t>
  </si>
  <si>
    <t>Maturity</t>
  </si>
  <si>
    <t>Security</t>
  </si>
  <si>
    <t>8.2%</t>
  </si>
  <si>
    <t>31-Dec-2025</t>
  </si>
  <si>
    <t>Unsecured / subordinated</t>
  </si>
  <si>
    <t>7.4%</t>
  </si>
  <si>
    <t>30-Jun-2025</t>
  </si>
  <si>
    <t>Project cash flow support</t>
  </si>
  <si>
    <t>7.1%</t>
  </si>
  <si>
    <t>31-Mar-2026</t>
  </si>
  <si>
    <t>Unsecured</t>
  </si>
  <si>
    <t>8.8%</t>
  </si>
  <si>
    <t>31-Dec-2026</t>
  </si>
  <si>
    <t>Subordinated</t>
  </si>
  <si>
    <t>Cost Allocation</t>
  </si>
  <si>
    <t>Illustrative allocation keys used for shared service pools</t>
  </si>
  <si>
    <t>Cost Category</t>
  </si>
  <si>
    <t>Allocated Entity</t>
  </si>
  <si>
    <t>Allocation Method</t>
  </si>
  <si>
    <t>Allocation Key</t>
  </si>
  <si>
    <t>FY2023 Amount (USD)</t>
  </si>
  <si>
    <t>HR, payroll and admin</t>
  </si>
  <si>
    <t>Operating entities</t>
  </si>
  <si>
    <t>Cost-plus</t>
  </si>
  <si>
    <t>Headcount</t>
  </si>
  <si>
    <t>IT licences and user support</t>
  </si>
  <si>
    <t>Operating entities and SPVs</t>
  </si>
  <si>
    <t>Named users</t>
  </si>
  <si>
    <t>Procurement governance</t>
  </si>
  <si>
    <t>Active project SPVs</t>
  </si>
  <si>
    <t>Project spend</t>
  </si>
  <si>
    <t>Legal and compliance</t>
  </si>
  <si>
    <t>Specific project entities</t>
  </si>
  <si>
    <t>Direct tracing / cost-plus</t>
  </si>
  <si>
    <t>Matter-based</t>
  </si>
  <si>
    <t>Executive oversight shareholder activities</t>
  </si>
  <si>
    <t>Holding entities</t>
  </si>
  <si>
    <t>Excluded</t>
  </si>
  <si>
    <t>Benchmarking Analysis</t>
  </si>
  <si>
    <t>Illustrative benchmark data supporting markup and return ranges</t>
  </si>
  <si>
    <t>Comparable Company</t>
  </si>
  <si>
    <t>Industry</t>
  </si>
  <si>
    <t>Profit Metric</t>
  </si>
  <si>
    <t>Observed Margin</t>
  </si>
  <si>
    <t>Benchmark Range</t>
  </si>
  <si>
    <t>Use in analysis</t>
  </si>
  <si>
    <t>Global Project Advisory Co.</t>
  </si>
  <si>
    <t>Real estate support</t>
  </si>
  <si>
    <t>EBIT margin</t>
  </si>
  <si>
    <t>8.4%</t>
  </si>
  <si>
    <t>6.0%–10.5%</t>
  </si>
  <si>
    <t>Project management support</t>
  </si>
  <si>
    <t>Regional Shared Services Group</t>
  </si>
  <si>
    <t>Business support</t>
  </si>
  <si>
    <t>Full-cost markup</t>
  </si>
  <si>
    <t>5.0%–9.0%</t>
  </si>
  <si>
    <t>Shared services charges</t>
  </si>
  <si>
    <t>Property Platform Services Ltd.</t>
  </si>
  <si>
    <t>Property services</t>
  </si>
  <si>
    <t>9.2%</t>
  </si>
  <si>
    <t>7.0%–11.0%</t>
  </si>
  <si>
    <t>Development support</t>
  </si>
  <si>
    <t>Infrastructure PM Advisors</t>
  </si>
  <si>
    <t>Project management</t>
  </si>
  <si>
    <t>Markup</t>
  </si>
  <si>
    <t>10.1%</t>
  </si>
  <si>
    <t>8.0%–12.5%</t>
  </si>
  <si>
    <t>Technical coordination</t>
  </si>
  <si>
    <t>Commercial Treasury Services plc</t>
  </si>
  <si>
    <t>Treasury support</t>
  </si>
  <si>
    <t>Service return</t>
  </si>
  <si>
    <t>6.8%</t>
  </si>
  <si>
    <t>5.5%–8.5%</t>
  </si>
  <si>
    <t>Treasury / finance services</t>
  </si>
  <si>
    <t>Transfer Pricing Risk Assessment</t>
  </si>
  <si>
    <t>Key diligence risks across the controlled transaction population</t>
  </si>
  <si>
    <t>Transaction</t>
  </si>
  <si>
    <t>Potential Tax Risk</t>
  </si>
  <si>
    <t>Risk Level</t>
  </si>
  <si>
    <t>Illustrative Exposure (USD)</t>
  </si>
  <si>
    <t>Recommended Mitigation</t>
  </si>
  <si>
    <t>Shared service charges</t>
  </si>
  <si>
    <t>Benefit test and shareholder cost contamination</t>
  </si>
  <si>
    <t>Moderate</t>
  </si>
  <si>
    <t>Refresh allocation policy and exclusions</t>
  </si>
  <si>
    <t>Development management fees</t>
  </si>
  <si>
    <t>Markup not refreshed against current benchmarks</t>
  </si>
  <si>
    <t>Update tested-party study</t>
  </si>
  <si>
    <t>Intercompany debt</t>
  </si>
  <si>
    <t>Interest rate / guarantee support underpricing</t>
  </si>
  <si>
    <t>Moderate to High</t>
  </si>
  <si>
    <t>Prepare credit and CUP memo</t>
  </si>
  <si>
    <t>Hard-to-value intangible contribution</t>
  </si>
  <si>
    <t>High</t>
  </si>
  <si>
    <t>Enhance comparables and agreement terms</t>
  </si>
  <si>
    <t>Documentation consistency</t>
  </si>
  <si>
    <t>Missing contemporaneous agreements or invoices</t>
  </si>
  <si>
    <t>Centralize repository and annual true-up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</si>
</sst>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_);[Red]\(\$#,##0\)"/>
  </numFmts>
  <fonts count="6" x14ac:knownFonts="1">
    <font>
      <sz val="11"/>
      <color theme="1"/>
      <name val="Calibri"/>
      <family val="2"/>
      <scheme val="minor"/>
    </font>
    <font>
      <b/>
      <sz val="15"/>
      <color rgb="FF1F4E78"/>
      <name val="Calibri"/>
      <family val="2"/>
    </font>
    <font>
      <i/>
      <sz val="9"/>
      <color rgb="FF666666"/>
      <name val="Calibri"/>
      <family val="2"/>
    </font>
    <font>
      <b/>
      <sz val="9"/>
      <color rgb="FFFFFFFF"/>
      <name val="Calibri"/>
      <family val="2"/>
    </font>
    <font>
      <sz val="9"/>
      <name val="Calibri"/>
      <family val="2"/>
    </font>
    <font>
      <b/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24" customWidth="1"/>
    <col min="3" max="3" width="48" customWidth="1"/>
    <col min="4" max="6" width="18" customWidth="1"/>
  </cols>
  <sheetData>
    <row r="1" spans="1:6" ht="20" customHeight="1" x14ac:dyDescent="0.25">
      <c r="A1" s="1" t="s">
        <v>0</v>
      </c>
    </row>
    <row r="2" spans="1:6" ht="20" customHeight="1" x14ac:dyDescent="0.2">
      <c r="A2" s="2" t="s">
        <v>1</v>
      </c>
    </row>
    <row r="4" spans="1:6" ht="26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">
      <c r="A5" s="4" t="s">
        <v>8</v>
      </c>
      <c r="B5" s="4" t="s">
        <v>9</v>
      </c>
      <c r="C5" s="4" t="s">
        <v>10</v>
      </c>
      <c r="D5" s="5">
        <v>2450000</v>
      </c>
      <c r="E5" s="5">
        <v>2985000</v>
      </c>
      <c r="F5" s="5">
        <v>3420000</v>
      </c>
    </row>
    <row r="6" spans="1:6" x14ac:dyDescent="0.2">
      <c r="A6" s="4" t="s">
        <v>11</v>
      </c>
      <c r="B6" s="4" t="s">
        <v>12</v>
      </c>
      <c r="C6" s="4" t="s">
        <v>13</v>
      </c>
      <c r="D6" s="5">
        <v>3150000</v>
      </c>
      <c r="E6" s="5">
        <v>4125000</v>
      </c>
      <c r="F6" s="5">
        <v>4680000</v>
      </c>
    </row>
    <row r="7" spans="1:6" x14ac:dyDescent="0.2">
      <c r="A7" s="4" t="s">
        <v>14</v>
      </c>
      <c r="B7" s="4" t="s">
        <v>12</v>
      </c>
      <c r="C7" s="4" t="s">
        <v>15</v>
      </c>
      <c r="D7" s="5">
        <v>1725000</v>
      </c>
      <c r="E7" s="5">
        <v>2560000</v>
      </c>
      <c r="F7" s="5">
        <v>3015000</v>
      </c>
    </row>
    <row r="8" spans="1:6" x14ac:dyDescent="0.2">
      <c r="A8" s="4" t="s">
        <v>16</v>
      </c>
      <c r="B8" s="4" t="s">
        <v>17</v>
      </c>
      <c r="C8" s="4" t="s">
        <v>18</v>
      </c>
      <c r="D8" s="5">
        <v>480000</v>
      </c>
      <c r="E8" s="5">
        <v>710000</v>
      </c>
      <c r="F8" s="5">
        <v>920000</v>
      </c>
    </row>
    <row r="9" spans="1:6" x14ac:dyDescent="0.2">
      <c r="A9" s="4" t="s">
        <v>19</v>
      </c>
      <c r="B9" s="4" t="s">
        <v>20</v>
      </c>
      <c r="C9" s="4" t="s">
        <v>21</v>
      </c>
      <c r="D9" s="5">
        <v>3880000</v>
      </c>
      <c r="E9" s="5">
        <v>4565000</v>
      </c>
      <c r="F9" s="5">
        <v>5225000</v>
      </c>
    </row>
    <row r="10" spans="1:6" x14ac:dyDescent="0.2">
      <c r="A10" s="4" t="s">
        <v>22</v>
      </c>
      <c r="B10" s="4" t="s">
        <v>23</v>
      </c>
      <c r="C10" s="4" t="s">
        <v>24</v>
      </c>
      <c r="D10" s="5">
        <v>690000</v>
      </c>
      <c r="E10" s="5">
        <v>845000</v>
      </c>
      <c r="F10" s="5">
        <v>1010000</v>
      </c>
    </row>
    <row r="11" spans="1:6" x14ac:dyDescent="0.2">
      <c r="A11" s="6" t="s">
        <v>25</v>
      </c>
      <c r="D11" s="7">
        <f>SUM(D5:D10)</f>
        <v>12375000</v>
      </c>
      <c r="E11" s="7">
        <f>SUM(E5:E10)</f>
        <v>15790000</v>
      </c>
      <c r="F11" s="7">
        <f>SUM(F5:F10)</f>
        <v>18270000</v>
      </c>
    </row>
  </sheetData>
  <pageMargins left="0.25" right="0.25" top="0.4" bottom="0.4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9"/>
  <sheetViews>
    <sheetView showGridLines="0" workbookViewId="0"/>
  </sheetViews>
  <sheetFormatPr baseColWidth="10" defaultColWidth="8.83203125" defaultRowHeight="15" x14ac:dyDescent="0.2"/>
  <cols>
    <col min="1" max="2" width="28" customWidth="1"/>
    <col min="3" max="4" width="24" customWidth="1"/>
    <col min="5" max="5" width="16" customWidth="1"/>
    <col min="6" max="6" width="14" customWidth="1"/>
  </cols>
  <sheetData>
    <row r="1" spans="1:6" ht="20" customHeight="1" x14ac:dyDescent="0.25">
      <c r="A1" s="1" t="s">
        <v>26</v>
      </c>
    </row>
    <row r="2" spans="1:6" ht="20" customHeight="1" x14ac:dyDescent="0.2">
      <c r="A2" s="2" t="s">
        <v>27</v>
      </c>
    </row>
    <row r="4" spans="1:6" x14ac:dyDescent="0.2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</row>
    <row r="5" spans="1:6" x14ac:dyDescent="0.2">
      <c r="A5" s="4" t="s">
        <v>8</v>
      </c>
      <c r="B5" s="4" t="s">
        <v>34</v>
      </c>
      <c r="C5" s="4" t="s">
        <v>35</v>
      </c>
      <c r="D5" s="8" t="s">
        <v>36</v>
      </c>
      <c r="E5" s="5">
        <v>1185000</v>
      </c>
      <c r="F5" s="9" t="s">
        <v>37</v>
      </c>
    </row>
    <row r="6" spans="1:6" x14ac:dyDescent="0.2">
      <c r="A6" s="4" t="s">
        <v>34</v>
      </c>
      <c r="B6" s="4" t="s">
        <v>38</v>
      </c>
      <c r="C6" s="4" t="s">
        <v>39</v>
      </c>
      <c r="D6" s="8" t="s">
        <v>36</v>
      </c>
      <c r="E6" s="5">
        <v>4680000</v>
      </c>
      <c r="F6" s="9" t="s">
        <v>40</v>
      </c>
    </row>
    <row r="7" spans="1:6" x14ac:dyDescent="0.2">
      <c r="A7" s="4" t="s">
        <v>34</v>
      </c>
      <c r="B7" s="4" t="s">
        <v>41</v>
      </c>
      <c r="C7" s="4" t="s">
        <v>39</v>
      </c>
      <c r="D7" s="8" t="s">
        <v>36</v>
      </c>
      <c r="E7" s="5">
        <v>3015000</v>
      </c>
      <c r="F7" s="9" t="s">
        <v>42</v>
      </c>
    </row>
    <row r="8" spans="1:6" x14ac:dyDescent="0.2">
      <c r="A8" s="4" t="s">
        <v>8</v>
      </c>
      <c r="B8" s="4" t="s">
        <v>22</v>
      </c>
      <c r="C8" s="4" t="s">
        <v>43</v>
      </c>
      <c r="D8" s="8" t="s">
        <v>36</v>
      </c>
      <c r="E8" s="5">
        <v>655000</v>
      </c>
      <c r="F8" s="9" t="s">
        <v>44</v>
      </c>
    </row>
    <row r="9" spans="1:6" x14ac:dyDescent="0.2">
      <c r="A9" s="4" t="s">
        <v>16</v>
      </c>
      <c r="B9" s="4" t="s">
        <v>45</v>
      </c>
      <c r="C9" s="4" t="s">
        <v>46</v>
      </c>
      <c r="D9" s="8" t="s">
        <v>47</v>
      </c>
      <c r="E9" s="5">
        <v>920000</v>
      </c>
      <c r="F9" s="8" t="s">
        <v>48</v>
      </c>
    </row>
  </sheetData>
  <pageMargins left="0.25" right="0.25" top="0.4" bottom="0.4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8"/>
  <sheetViews>
    <sheetView showGridLines="0" workbookViewId="0"/>
  </sheetViews>
  <sheetFormatPr baseColWidth="10" defaultColWidth="8.83203125" defaultRowHeight="15" x14ac:dyDescent="0.2"/>
  <cols>
    <col min="1" max="2" width="28" customWidth="1"/>
    <col min="3" max="3" width="16" customWidth="1"/>
    <col min="4" max="4" width="12" customWidth="1"/>
    <col min="5" max="5" width="18" customWidth="1"/>
    <col min="6" max="6" width="14" customWidth="1"/>
    <col min="7" max="7" width="22" customWidth="1"/>
  </cols>
  <sheetData>
    <row r="1" spans="1:7" ht="20" customHeight="1" x14ac:dyDescent="0.25">
      <c r="A1" s="1" t="s">
        <v>49</v>
      </c>
    </row>
    <row r="2" spans="1:7" ht="20" customHeight="1" x14ac:dyDescent="0.2">
      <c r="A2" s="2" t="s">
        <v>50</v>
      </c>
    </row>
    <row r="4" spans="1:7" ht="26" x14ac:dyDescent="0.2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</row>
    <row r="5" spans="1:7" x14ac:dyDescent="0.2">
      <c r="A5" s="4" t="s">
        <v>19</v>
      </c>
      <c r="B5" s="4" t="s">
        <v>34</v>
      </c>
      <c r="C5" s="5">
        <v>45000000</v>
      </c>
      <c r="D5" s="9" t="s">
        <v>58</v>
      </c>
      <c r="E5" s="5">
        <v>39500000</v>
      </c>
      <c r="F5" s="4" t="s">
        <v>59</v>
      </c>
      <c r="G5" s="4" t="s">
        <v>60</v>
      </c>
    </row>
    <row r="6" spans="1:7" x14ac:dyDescent="0.2">
      <c r="A6" s="4" t="s">
        <v>34</v>
      </c>
      <c r="B6" s="4" t="s">
        <v>38</v>
      </c>
      <c r="C6" s="5">
        <v>28000000</v>
      </c>
      <c r="D6" s="9" t="s">
        <v>61</v>
      </c>
      <c r="E6" s="5">
        <v>23600000</v>
      </c>
      <c r="F6" s="4" t="s">
        <v>62</v>
      </c>
      <c r="G6" s="4" t="s">
        <v>63</v>
      </c>
    </row>
    <row r="7" spans="1:7" x14ac:dyDescent="0.2">
      <c r="A7" s="4" t="s">
        <v>34</v>
      </c>
      <c r="B7" s="4" t="s">
        <v>41</v>
      </c>
      <c r="C7" s="5">
        <v>17500000</v>
      </c>
      <c r="D7" s="9" t="s">
        <v>64</v>
      </c>
      <c r="E7" s="5">
        <v>14900000</v>
      </c>
      <c r="F7" s="4" t="s">
        <v>65</v>
      </c>
      <c r="G7" s="4" t="s">
        <v>66</v>
      </c>
    </row>
    <row r="8" spans="1:7" x14ac:dyDescent="0.2">
      <c r="A8" s="4" t="s">
        <v>19</v>
      </c>
      <c r="B8" s="4" t="s">
        <v>22</v>
      </c>
      <c r="C8" s="5">
        <v>12000000</v>
      </c>
      <c r="D8" s="9" t="s">
        <v>67</v>
      </c>
      <c r="E8" s="5">
        <v>12000000</v>
      </c>
      <c r="F8" s="4" t="s">
        <v>68</v>
      </c>
      <c r="G8" s="4" t="s">
        <v>69</v>
      </c>
    </row>
  </sheetData>
  <pageMargins left="0.25" right="0.25" top="0.4" bottom="0.4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9"/>
  <sheetViews>
    <sheetView showGridLines="0" workbookViewId="0"/>
  </sheetViews>
  <sheetFormatPr baseColWidth="10" defaultColWidth="8.83203125" defaultRowHeight="15" x14ac:dyDescent="0.2"/>
  <cols>
    <col min="1" max="1" width="28" customWidth="1"/>
    <col min="2" max="2" width="24" customWidth="1"/>
    <col min="3" max="4" width="18" customWidth="1"/>
    <col min="5" max="5" width="16" customWidth="1"/>
  </cols>
  <sheetData>
    <row r="1" spans="1:5" ht="20" customHeight="1" x14ac:dyDescent="0.25">
      <c r="A1" s="1" t="s">
        <v>70</v>
      </c>
    </row>
    <row r="2" spans="1:5" ht="20" customHeight="1" x14ac:dyDescent="0.2">
      <c r="A2" s="2" t="s">
        <v>71</v>
      </c>
    </row>
    <row r="4" spans="1:5" x14ac:dyDescent="0.2">
      <c r="A4" s="3" t="s">
        <v>72</v>
      </c>
      <c r="B4" s="3" t="s">
        <v>73</v>
      </c>
      <c r="C4" s="3" t="s">
        <v>74</v>
      </c>
      <c r="D4" s="3" t="s">
        <v>75</v>
      </c>
      <c r="E4" s="3" t="s">
        <v>76</v>
      </c>
    </row>
    <row r="5" spans="1:5" x14ac:dyDescent="0.2">
      <c r="A5" s="4" t="s">
        <v>77</v>
      </c>
      <c r="B5" s="4" t="s">
        <v>78</v>
      </c>
      <c r="C5" s="4" t="s">
        <v>79</v>
      </c>
      <c r="D5" s="8" t="s">
        <v>80</v>
      </c>
      <c r="E5" s="5">
        <v>725000</v>
      </c>
    </row>
    <row r="6" spans="1:5" x14ac:dyDescent="0.2">
      <c r="A6" s="4" t="s">
        <v>81</v>
      </c>
      <c r="B6" s="4" t="s">
        <v>82</v>
      </c>
      <c r="C6" s="4" t="s">
        <v>79</v>
      </c>
      <c r="D6" s="8" t="s">
        <v>83</v>
      </c>
      <c r="E6" s="5">
        <v>540000</v>
      </c>
    </row>
    <row r="7" spans="1:5" x14ac:dyDescent="0.2">
      <c r="A7" s="4" t="s">
        <v>84</v>
      </c>
      <c r="B7" s="4" t="s">
        <v>85</v>
      </c>
      <c r="C7" s="4" t="s">
        <v>79</v>
      </c>
      <c r="D7" s="8" t="s">
        <v>86</v>
      </c>
      <c r="E7" s="5">
        <v>865000</v>
      </c>
    </row>
    <row r="8" spans="1:5" x14ac:dyDescent="0.2">
      <c r="A8" s="4" t="s">
        <v>87</v>
      </c>
      <c r="B8" s="4" t="s">
        <v>88</v>
      </c>
      <c r="C8" s="4" t="s">
        <v>89</v>
      </c>
      <c r="D8" s="8" t="s">
        <v>90</v>
      </c>
      <c r="E8" s="5">
        <v>430000</v>
      </c>
    </row>
    <row r="9" spans="1:5" x14ac:dyDescent="0.2">
      <c r="A9" s="4" t="s">
        <v>91</v>
      </c>
      <c r="B9" s="4" t="s">
        <v>92</v>
      </c>
      <c r="C9" s="4" t="s">
        <v>93</v>
      </c>
      <c r="D9" s="8" t="s">
        <v>48</v>
      </c>
      <c r="E9" s="5">
        <v>0</v>
      </c>
    </row>
  </sheetData>
  <pageMargins left="0.25" right="0.25" top="0.4" bottom="0.4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9"/>
  <sheetViews>
    <sheetView showGridLines="0" tabSelected="1" workbookViewId="0"/>
  </sheetViews>
  <sheetFormatPr baseColWidth="10" defaultColWidth="8.83203125" defaultRowHeight="15" x14ac:dyDescent="0.2"/>
  <cols>
    <col min="1" max="1" width="28" customWidth="1"/>
    <col min="2" max="2" width="18" customWidth="1"/>
    <col min="3" max="3" width="16" customWidth="1"/>
    <col min="4" max="4" width="14" customWidth="1"/>
    <col min="5" max="5" width="16" customWidth="1"/>
    <col min="6" max="6" width="24" customWidth="1"/>
  </cols>
  <sheetData>
    <row r="1" spans="1:6" ht="20" customHeight="1" x14ac:dyDescent="0.25">
      <c r="A1" s="1" t="s">
        <v>94</v>
      </c>
    </row>
    <row r="2" spans="1:6" ht="20" customHeight="1" x14ac:dyDescent="0.2">
      <c r="A2" s="2" t="s">
        <v>95</v>
      </c>
    </row>
    <row r="4" spans="1:6" x14ac:dyDescent="0.2">
      <c r="A4" s="3" t="s">
        <v>96</v>
      </c>
      <c r="B4" s="3" t="s">
        <v>97</v>
      </c>
      <c r="C4" s="3" t="s">
        <v>98</v>
      </c>
      <c r="D4" s="3" t="s">
        <v>99</v>
      </c>
      <c r="E4" s="3" t="s">
        <v>100</v>
      </c>
      <c r="F4" s="3" t="s">
        <v>101</v>
      </c>
    </row>
    <row r="5" spans="1:6" x14ac:dyDescent="0.2">
      <c r="A5" s="4" t="s">
        <v>102</v>
      </c>
      <c r="B5" s="4" t="s">
        <v>103</v>
      </c>
      <c r="C5" s="4" t="s">
        <v>104</v>
      </c>
      <c r="D5" s="9" t="s">
        <v>105</v>
      </c>
      <c r="E5" s="9" t="s">
        <v>106</v>
      </c>
      <c r="F5" s="4" t="s">
        <v>107</v>
      </c>
    </row>
    <row r="6" spans="1:6" x14ac:dyDescent="0.2">
      <c r="A6" s="4" t="s">
        <v>108</v>
      </c>
      <c r="B6" s="4" t="s">
        <v>109</v>
      </c>
      <c r="C6" s="4" t="s">
        <v>110</v>
      </c>
      <c r="D6" s="9" t="s">
        <v>64</v>
      </c>
      <c r="E6" s="9" t="s">
        <v>111</v>
      </c>
      <c r="F6" s="4" t="s">
        <v>112</v>
      </c>
    </row>
    <row r="7" spans="1:6" x14ac:dyDescent="0.2">
      <c r="A7" s="4" t="s">
        <v>113</v>
      </c>
      <c r="B7" s="4" t="s">
        <v>114</v>
      </c>
      <c r="C7" s="4" t="s">
        <v>104</v>
      </c>
      <c r="D7" s="9" t="s">
        <v>115</v>
      </c>
      <c r="E7" s="9" t="s">
        <v>116</v>
      </c>
      <c r="F7" s="4" t="s">
        <v>117</v>
      </c>
    </row>
    <row r="8" spans="1:6" x14ac:dyDescent="0.2">
      <c r="A8" s="4" t="s">
        <v>118</v>
      </c>
      <c r="B8" s="4" t="s">
        <v>119</v>
      </c>
      <c r="C8" s="4" t="s">
        <v>120</v>
      </c>
      <c r="D8" s="9" t="s">
        <v>121</v>
      </c>
      <c r="E8" s="9" t="s">
        <v>122</v>
      </c>
      <c r="F8" s="4" t="s">
        <v>123</v>
      </c>
    </row>
    <row r="9" spans="1:6" x14ac:dyDescent="0.2">
      <c r="A9" s="4" t="s">
        <v>124</v>
      </c>
      <c r="B9" s="4" t="s">
        <v>125</v>
      </c>
      <c r="C9" s="4" t="s">
        <v>126</v>
      </c>
      <c r="D9" s="9" t="s">
        <v>127</v>
      </c>
      <c r="E9" s="9" t="s">
        <v>128</v>
      </c>
      <c r="F9" s="4" t="s">
        <v>129</v>
      </c>
    </row>
  </sheetData>
  <pageMargins left="0.25" right="0.25" top="0.4" bottom="0.4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9"/>
  <sheetViews>
    <sheetView showGridLines="0" workbookViewId="0"/>
  </sheetViews>
  <sheetFormatPr baseColWidth="10" defaultColWidth="8.83203125" defaultRowHeight="15" x14ac:dyDescent="0.2"/>
  <cols>
    <col min="1" max="1" width="24" customWidth="1"/>
    <col min="2" max="2" width="30" customWidth="1"/>
    <col min="3" max="3" width="14" customWidth="1"/>
    <col min="4" max="4" width="18" customWidth="1"/>
    <col min="5" max="5" width="30" customWidth="1"/>
  </cols>
  <sheetData>
    <row r="1" spans="1:5" ht="20" customHeight="1" x14ac:dyDescent="0.25">
      <c r="A1" s="1" t="s">
        <v>130</v>
      </c>
    </row>
    <row r="2" spans="1:5" ht="20" customHeight="1" x14ac:dyDescent="0.2">
      <c r="A2" s="2" t="s">
        <v>131</v>
      </c>
    </row>
    <row r="4" spans="1:5" x14ac:dyDescent="0.2">
      <c r="A4" s="3" t="s">
        <v>132</v>
      </c>
      <c r="B4" s="3" t="s">
        <v>133</v>
      </c>
      <c r="C4" s="3" t="s">
        <v>134</v>
      </c>
      <c r="D4" s="3" t="s">
        <v>135</v>
      </c>
      <c r="E4" s="3" t="s">
        <v>136</v>
      </c>
    </row>
    <row r="5" spans="1:5" ht="26" x14ac:dyDescent="0.2">
      <c r="A5" s="4" t="s">
        <v>137</v>
      </c>
      <c r="B5" s="4" t="s">
        <v>138</v>
      </c>
      <c r="C5" s="4" t="s">
        <v>139</v>
      </c>
      <c r="D5" s="5">
        <v>950000</v>
      </c>
      <c r="E5" s="8" t="s">
        <v>140</v>
      </c>
    </row>
    <row r="6" spans="1:5" ht="26" x14ac:dyDescent="0.2">
      <c r="A6" s="4" t="s">
        <v>141</v>
      </c>
      <c r="B6" s="4" t="s">
        <v>142</v>
      </c>
      <c r="C6" s="4" t="s">
        <v>139</v>
      </c>
      <c r="D6" s="5">
        <v>1850000</v>
      </c>
      <c r="E6" s="8" t="s">
        <v>143</v>
      </c>
    </row>
    <row r="7" spans="1:5" x14ac:dyDescent="0.2">
      <c r="A7" s="4" t="s">
        <v>144</v>
      </c>
      <c r="B7" s="4" t="s">
        <v>145</v>
      </c>
      <c r="C7" s="4" t="s">
        <v>146</v>
      </c>
      <c r="D7" s="5">
        <v>3200000</v>
      </c>
      <c r="E7" s="8" t="s">
        <v>147</v>
      </c>
    </row>
    <row r="8" spans="1:5" x14ac:dyDescent="0.2">
      <c r="A8" s="4" t="s">
        <v>17</v>
      </c>
      <c r="B8" s="4" t="s">
        <v>148</v>
      </c>
      <c r="C8" s="4" t="s">
        <v>149</v>
      </c>
      <c r="D8" s="5">
        <v>2400000</v>
      </c>
      <c r="E8" s="8" t="s">
        <v>150</v>
      </c>
    </row>
    <row r="9" spans="1:5" ht="26" x14ac:dyDescent="0.2">
      <c r="A9" s="4" t="s">
        <v>151</v>
      </c>
      <c r="B9" s="4" t="s">
        <v>152</v>
      </c>
      <c r="C9" s="4" t="s">
        <v>139</v>
      </c>
      <c r="D9" s="5">
        <v>750000</v>
      </c>
      <c r="E9" s="8" t="s">
        <v>153</v>
      </c>
    </row>
  </sheetData>
  <pageMargins left="0.25" right="0.25" top="0.4" bottom="0.4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Intercompany Summary</vt:lpstr>
      <vt:lpstr>Service Agreements</vt:lpstr>
      <vt:lpstr>Intercompany Loans</vt:lpstr>
      <vt:lpstr>Cost Allocation</vt:lpstr>
      <vt:lpstr>Benchmarking</vt:lpstr>
      <vt:lpstr>TP Risk Assessment</vt:lpstr>
      <vt:lpstr>Benchmarking!Print_Titles</vt:lpstr>
      <vt:lpstr>'Cost Allocation'!Print_Titles</vt:lpstr>
      <vt:lpstr>'Intercompany Loans'!Print_Titles</vt:lpstr>
      <vt:lpstr>'Intercompany Summary'!Print_Titles</vt:lpstr>
      <vt:lpstr>'Service Agreements'!Print_Titles</vt:lpstr>
      <vt:lpstr>'TP Risk Assessment'!Print_Titles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ARSHIA VIJH - 45202220132</cp:lastModifiedBy>
  <dcterms:created xsi:type="dcterms:W3CDTF">2026-03-08T06:27:29Z</dcterms:created>
  <dcterms:modified xsi:type="dcterms:W3CDTF">2026-03-08T06:31:03Z</dcterms:modified>
</cp:coreProperties>
</file>