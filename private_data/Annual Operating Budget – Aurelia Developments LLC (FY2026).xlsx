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1 Dashboard" sheetId="1" state="visible" r:id="rId3"/>
    <sheet name="02 Budget Assumptions" sheetId="2" state="visible" r:id="rId4"/>
    <sheet name="03 Revenue Budget" sheetId="3" state="visible" r:id="rId5"/>
    <sheet name="04 Development Project Budget" sheetId="4" state="visible" r:id="rId6"/>
    <sheet name="05 Construction Cost Budget" sheetId="5" state="visible" r:id="rId7"/>
    <sheet name="06 Sales and Marketing Budget" sheetId="6" state="visible" r:id="rId8"/>
    <sheet name="07 Corporate Opex" sheetId="7" state="visible" r:id="rId9"/>
    <sheet name="08 Headcount Budget" sheetId="8" state="visible" r:id="rId10"/>
    <sheet name="09 CapEx Budget" sheetId="9" state="visible" r:id="rId11"/>
    <sheet name="10 Financing Cost" sheetId="10" state="visible" r:id="rId12"/>
    <sheet name="11 Cash Flow Budget" sheetId="11" state="visible" r:id="rId13"/>
    <sheet name="12 Working Capital" sheetId="12" state="visible" r:id="rId14"/>
    <sheet name="13 Debt Schedule" sheetId="13" state="visible" r:id="rId15"/>
    <sheet name="14 Budget vs Forecast" sheetId="14" state="visible" r:id="rId16"/>
    <sheet name="15 Sensitivity" sheetId="15" state="visible" r:id="rId17"/>
    <sheet name="16 Risk Commentary" sheetId="16" state="visible" r:id="rId18"/>
    <sheet name="99_Helper" sheetId="17" state="hidden" r:id="rId1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OpenAI</author>
  </authors>
  <commentList>
    <comment ref="B6" authorId="0">
      <text>
        <r>
          <rPr>
            <sz val="10"/>
            <rFont val="Arial"/>
            <family val="2"/>
          </rPr>
          <t xml:space="preserve">Source: illustrative internal budgeting assumption for model purposes.</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7"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8"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9"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0"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1"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2"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3"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4"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 ref="B15" authorId="0">
      <text>
        <r>
          <rPr>
            <sz val="10"/>
            <rFont val="Arial"/>
            <family val="2"/>
          </rPr>
          <t xml:space="preserve">Source: illustrative management budgeting assumption for model build.</t>
        </r>
      </text>
      <mc:AlternateContent>
        <mc:Choice Requires="v2">
          <commentPr autoFill="true" autoScale="false" colHidden="false" locked="false" rowHidden="false" textHAlign="justify" textVAlign="top">
            <anchor moveWithCells="false" sizeWithCells="false">
              <xdr:from>
                <xdr:col>0</xdr:col>
                <xdr:colOff>79</xdr:colOff>
                <xdr:row>1</xdr:row>
                <xdr:rowOff>4</xdr:rowOff>
              </xdr:from>
              <xdr:to>
                <xdr:col>1</xdr:col>
                <xdr:colOff>-29</xdr:colOff>
                <xdr:row>4</xdr:row>
                <xdr:rowOff>23</xdr:rowOff>
              </xdr:to>
            </anchor>
          </commentPr>
        </mc:Choice>
        <mc:Fallback/>
      </mc:AlternateContent>
    </comment>
  </commentList>
</comments>
</file>

<file path=xl/sharedStrings.xml><?xml version="1.0" encoding="utf-8"?>
<sst xmlns="http://schemas.openxmlformats.org/spreadsheetml/2006/main" count="631" uniqueCount="355">
  <si>
    <t xml:space="preserve">Budget Summary Dashboard</t>
  </si>
  <si>
    <t xml:space="preserve">Annual Operating Budget – Aurelia Developments LLC (FY2026) | Management summary</t>
  </si>
  <si>
    <t xml:space="preserve">Metric</t>
  </si>
  <si>
    <t xml:space="preserve">Budget (Annual)</t>
  </si>
  <si>
    <t xml:space="preserve">Comment</t>
  </si>
  <si>
    <t xml:space="preserve">Month</t>
  </si>
  <si>
    <t xml:space="preserve">Revenue</t>
  </si>
  <si>
    <t xml:space="preserve">Construction Spend</t>
  </si>
  <si>
    <t xml:space="preserve">Category</t>
  </si>
  <si>
    <t xml:space="preserve">Annual Budget</t>
  </si>
  <si>
    <t xml:space="preserve">Total corporate revenue</t>
  </si>
  <si>
    <t xml:space="preserve">Construction</t>
  </si>
  <si>
    <t xml:space="preserve">Gross Profit</t>
  </si>
  <si>
    <t xml:space="preserve">Revenue less development cost budget</t>
  </si>
  <si>
    <t xml:space="preserve">Sales &amp; Marketing</t>
  </si>
  <si>
    <t xml:space="preserve">EBITDA</t>
  </si>
  <si>
    <t xml:space="preserve">Before financing and tax</t>
  </si>
  <si>
    <t xml:space="preserve">Corporate Opex</t>
  </si>
  <si>
    <t xml:space="preserve">Operating Expenses</t>
  </si>
  <si>
    <t xml:space="preserve">Sales &amp; marketing plus corporate opex</t>
  </si>
  <si>
    <t xml:space="preserve">CapEx</t>
  </si>
  <si>
    <t xml:space="preserve">Net Profit</t>
  </si>
  <si>
    <t xml:space="preserve">After financing cost</t>
  </si>
  <si>
    <t xml:space="preserve">Financing Cost</t>
  </si>
  <si>
    <t xml:space="preserve">Total Development Spend</t>
  </si>
  <si>
    <t xml:space="preserve">Annual construction budget</t>
  </si>
  <si>
    <t xml:space="preserve">Capital Expenditure</t>
  </si>
  <si>
    <t xml:space="preserve">Corporate / strategic capex</t>
  </si>
  <si>
    <t xml:space="preserve">Debt Outstanding</t>
  </si>
  <si>
    <t xml:space="preserve">Opening debt plus annual movement</t>
  </si>
  <si>
    <t xml:space="preserve">Budget Assumptions</t>
  </si>
  <si>
    <t xml:space="preserve">Aurelia Developments LLC | FY2026 annual operating budget | Amounts in AED'000 unless noted</t>
  </si>
  <si>
    <t xml:space="preserve">Core Budget Drivers</t>
  </si>
  <si>
    <t xml:space="preserve">Assumption</t>
  </si>
  <si>
    <t xml:space="preserve">Base Value</t>
  </si>
  <si>
    <t xml:space="preserve">Budget Value</t>
  </si>
  <si>
    <t xml:space="preserve">Units</t>
  </si>
  <si>
    <t xml:space="preserve">Construction cost inflation</t>
  </si>
  <si>
    <t xml:space="preserve">%</t>
  </si>
  <si>
    <t xml:space="preserve">Applied to monthly construction spend</t>
  </si>
  <si>
    <t xml:space="preserve">Sales price growth vs FY2025</t>
  </si>
  <si>
    <t xml:space="preserve">Luxury residential pricing uplift</t>
  </si>
  <si>
    <t xml:space="preserve">Broker commission rate</t>
  </si>
  <si>
    <t xml:space="preserve">Applied to property sales</t>
  </si>
  <si>
    <t xml:space="preserve">Customer deposit rate on off-plan sales</t>
  </si>
  <si>
    <t xml:space="preserve">Collections to escrow</t>
  </si>
  <si>
    <t xml:space="preserve">Escrow release ratio</t>
  </si>
  <si>
    <t xml:space="preserve">Eligible construction spend released</t>
  </si>
  <si>
    <t xml:space="preserve">Payroll growth</t>
  </si>
  <si>
    <t xml:space="preserve">Applied to average salaries</t>
  </si>
  <si>
    <t xml:space="preserve">Office / admin inflation</t>
  </si>
  <si>
    <t xml:space="preserve">Corporate overheads</t>
  </si>
  <si>
    <t xml:space="preserve">Corporate tax placeholder</t>
  </si>
  <si>
    <t xml:space="preserve">Illustrative</t>
  </si>
  <si>
    <t xml:space="preserve">Accounts receivable days</t>
  </si>
  <si>
    <t xml:space="preserve">days</t>
  </si>
  <si>
    <t xml:space="preserve">Completed property / leasing</t>
  </si>
  <si>
    <t xml:space="preserve">Accounts payable days</t>
  </si>
  <si>
    <t xml:space="preserve">Construction and consultants</t>
  </si>
  <si>
    <t xml:space="preserve">Recurring Revenue Assumptions</t>
  </si>
  <si>
    <t xml:space="preserve">Revenue Line</t>
  </si>
  <si>
    <t xml:space="preserve">Monthly Base</t>
  </si>
  <si>
    <t xml:space="preserve">Growth / Seasonality Driver</t>
  </si>
  <si>
    <t xml:space="preserve">Rental income</t>
  </si>
  <si>
    <t xml:space="preserve">3% annualized step-up</t>
  </si>
  <si>
    <t xml:space="preserve">AED'000</t>
  </si>
  <si>
    <t xml:space="preserve">Stabilized leasing portfolio</t>
  </si>
  <si>
    <t xml:space="preserve">Hospitality revenue</t>
  </si>
  <si>
    <t xml:space="preserve">seasonality + 4% ADR growth</t>
  </si>
  <si>
    <t xml:space="preserve">Branded hospitality operations</t>
  </si>
  <si>
    <t xml:space="preserve">Development management fees</t>
  </si>
  <si>
    <t xml:space="preserve">flat monthly retainer</t>
  </si>
  <si>
    <t xml:space="preserve">Development and asset management</t>
  </si>
  <si>
    <t xml:space="preserve">Other income</t>
  </si>
  <si>
    <t xml:space="preserve">flat monthly</t>
  </si>
  <si>
    <t xml:space="preserve">Miscellaneous fees and recoveries</t>
  </si>
  <si>
    <t xml:space="preserve">Monthly Seasonality Factors</t>
  </si>
  <si>
    <t xml:space="preserve">Factor</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</si>
  <si>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</si>
  <si>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</si>
  <si>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</si>
  <si>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</si>
  <si>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</si>
  <si>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</si>
  <si>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</si>
  <si>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</si>
  <si>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</si>
  <si>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</si>
  <si>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</si>
  <si>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</si>
  <si>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Sales seasonality</t>
  </si>
  <si>
    <t xml:space="preserve">Construction seasonality</t>
  </si>
  <si>
    <t xml:space="preserve">Marketing seasonality</t>
  </si>
  <si>
    <t xml:space="preserve">Project-Level Sales Assumptions</t>
  </si>
  <si>
    <t xml:space="preserve">Project</t>
  </si>
  <si>
    <t xml:space="preserve">Location</t>
  </si>
  <si>
    <t xml:space="preserve">Units Planned</t>
  </si>
  <si>
    <t xml:space="preserve">Avg Selling Price / Unit</t>
  </si>
  <si>
    <t xml:space="preserve">Off-plan %</t>
  </si>
  <si>
    <t xml:space="preserve">Construction Budget</t>
  </si>
  <si>
    <t xml:space="preserve">Debt Rate</t>
  </si>
  <si>
    <t xml:space="preserve">Opening Debt</t>
  </si>
  <si>
    <t xml:space="preserve">Annual Sales Value</t>
  </si>
  <si>
    <t xml:space="preserve">Marina Residences Tower</t>
  </si>
  <si>
    <t xml:space="preserve">Dubai Marina</t>
  </si>
  <si>
    <t xml:space="preserve">Palm Waterfront Villas</t>
  </si>
  <si>
    <t xml:space="preserve">Palm Jumeirah</t>
  </si>
  <si>
    <t xml:space="preserve">Downtown Mixed-Use Development</t>
  </si>
  <si>
    <t xml:space="preserve">Downtown Dubai</t>
  </si>
  <si>
    <t xml:space="preserve">Jumeirah Branded Residences</t>
  </si>
  <si>
    <t xml:space="preserve">Jumeirah</t>
  </si>
  <si>
    <t xml:space="preserve">Revenue Budget</t>
  </si>
  <si>
    <t xml:space="preserve">Monthly revenue forecast linked to project-level sales assumptions</t>
  </si>
  <si>
    <t xml:space="preserve">FY2026</t>
  </si>
  <si>
    <t xml:space="preserve">Off-plan property sales</t>
  </si>
  <si>
    <t xml:space="preserve">Completed property sales</t>
  </si>
  <si>
    <t xml:space="preserve">Total Revenue</t>
  </si>
  <si>
    <t xml:space="preserve">Development Project Budget</t>
  </si>
  <si>
    <t xml:space="preserve">Annual project budget summary and monthly sales planning</t>
  </si>
  <si>
    <t xml:space="preserve">Units Planned for Sale</t>
  </si>
  <si>
    <t xml:space="preserve">Average Selling Price</t>
  </si>
  <si>
    <t xml:space="preserve">Total Sales Value</t>
  </si>
  <si>
    <t xml:space="preserve">Budgeted Revenue</t>
  </si>
  <si>
    <t xml:space="preserve">Budgeted Construction Cost</t>
  </si>
  <si>
    <t xml:space="preserve">Gross Margin</t>
  </si>
  <si>
    <t xml:space="preserve">Gross Margin %</t>
  </si>
  <si>
    <t xml:space="preserve">Jan Units</t>
  </si>
  <si>
    <t xml:space="preserve">Feb Units</t>
  </si>
  <si>
    <t xml:space="preserve">Mar Units</t>
  </si>
  <si>
    <t xml:space="preserve">Apr Units</t>
  </si>
  <si>
    <t xml:space="preserve">May Units</t>
  </si>
  <si>
    <t xml:space="preserve">Jun Units</t>
  </si>
  <si>
    <t xml:space="preserve">Jul Units</t>
  </si>
  <si>
    <t xml:space="preserve">Aug Units</t>
  </si>
  <si>
    <t xml:space="preserve">Sep Units</t>
  </si>
  <si>
    <t xml:space="preserve">Oct Units</t>
  </si>
  <si>
    <t xml:space="preserve">Nov Units</t>
  </si>
  <si>
    <t xml:space="preserve">Dec Units</t>
  </si>
  <si>
    <t xml:space="preserve">Total</t>
  </si>
  <si>
    <t xml:space="preserve">Construction Cost Budget</t>
  </si>
  <si>
    <t xml:space="preserve">Detailed monthly construction budget by project and cost package</t>
  </si>
  <si>
    <t xml:space="preserve">Project / Cost Package</t>
  </si>
  <si>
    <t xml:space="preserve">   Main contractor payments</t>
  </si>
  <si>
    <t xml:space="preserve">   Subcontractor packages</t>
  </si>
  <si>
    <t xml:space="preserve">   MEP contractors</t>
  </si>
  <si>
    <t xml:space="preserve">   Façade contractors</t>
  </si>
  <si>
    <t xml:space="preserve">   Consultant and design fees</t>
  </si>
  <si>
    <t xml:space="preserve">   Infrastructure costs</t>
  </si>
  <si>
    <t xml:space="preserve">   Testing and commissioning</t>
  </si>
  <si>
    <t xml:space="preserve">   Contingency allowances</t>
  </si>
  <si>
    <t xml:space="preserve">Project Total</t>
  </si>
  <si>
    <t xml:space="preserve">Grand Total Development Spend</t>
  </si>
  <si>
    <t xml:space="preserve">Sales and Marketing Budget</t>
  </si>
  <si>
    <t xml:space="preserve">Monthly marketing and sales support spend</t>
  </si>
  <si>
    <t xml:space="preserve">Advertising campaigns</t>
  </si>
  <si>
    <t xml:space="preserve">Digital marketing</t>
  </si>
  <si>
    <t xml:space="preserve">Broker commissions</t>
  </si>
  <si>
    <t xml:space="preserve">Sales center operations</t>
  </si>
  <si>
    <t xml:space="preserve">Launch events</t>
  </si>
  <si>
    <t xml:space="preserve">PR and branding</t>
  </si>
  <si>
    <t xml:space="preserve">Total Sales &amp; Marketing</t>
  </si>
  <si>
    <t xml:space="preserve">Corporate Operating Expense Budget</t>
  </si>
  <si>
    <t xml:space="preserve">Detailed corporate cost budget linked to headcount and assumptions</t>
  </si>
  <si>
    <t xml:space="preserve">Executive salaries</t>
  </si>
  <si>
    <t xml:space="preserve">Employee payroll</t>
  </si>
  <si>
    <t xml:space="preserve">Bonuses</t>
  </si>
  <si>
    <t xml:space="preserve">Office rent</t>
  </si>
  <si>
    <t xml:space="preserve">Utilities</t>
  </si>
  <si>
    <t xml:space="preserve">Insurance</t>
  </si>
  <si>
    <t xml:space="preserve">Legal fees</t>
  </si>
  <si>
    <t xml:space="preserve">Professional services</t>
  </si>
  <si>
    <t xml:space="preserve">IT and technology</t>
  </si>
  <si>
    <t xml:space="preserve">Travel and entertainment</t>
  </si>
  <si>
    <t xml:space="preserve">Total Corporate Opex</t>
  </si>
  <si>
    <t xml:space="preserve">Headcount Budget</t>
  </si>
  <si>
    <t xml:space="preserve">Workforce planning and annual payroll budget</t>
  </si>
  <si>
    <t xml:space="preserve">Department</t>
  </si>
  <si>
    <t xml:space="preserve">Headcount</t>
  </si>
  <si>
    <t xml:space="preserve">Average Monthly Salary</t>
  </si>
  <si>
    <t xml:space="preserve">Annual Base Payroll</t>
  </si>
  <si>
    <t xml:space="preserve">Bonus %</t>
  </si>
  <si>
    <t xml:space="preserve">Annual Bonus</t>
  </si>
  <si>
    <t xml:space="preserve">Total Payroll</t>
  </si>
  <si>
    <t xml:space="preserve">Monthly Payroll</t>
  </si>
  <si>
    <t xml:space="preserve">Development</t>
  </si>
  <si>
    <t xml:space="preserve">Annual merit and inflation incorporated in salary planning</t>
  </si>
  <si>
    <t xml:space="preserve">Sales</t>
  </si>
  <si>
    <t xml:space="preserve">Marketing</t>
  </si>
  <si>
    <t xml:space="preserve">Finance</t>
  </si>
  <si>
    <t xml:space="preserve">Legal</t>
  </si>
  <si>
    <t xml:space="preserve">HR</t>
  </si>
  <si>
    <t xml:space="preserve">Operations</t>
  </si>
  <si>
    <t xml:space="preserve">Capital Expenditure Budget</t>
  </si>
  <si>
    <t xml:space="preserve">Monthly CapEx schedule for corporate and project support investments</t>
  </si>
  <si>
    <t xml:space="preserve">CapEx Category</t>
  </si>
  <si>
    <t xml:space="preserve">Land acquisitions</t>
  </si>
  <si>
    <t xml:space="preserve">Office expansions</t>
  </si>
  <si>
    <t xml:space="preserve">Sales center construction</t>
  </si>
  <si>
    <t xml:space="preserve">Technology investment</t>
  </si>
  <si>
    <t xml:space="preserve">Furniture and equipment</t>
  </si>
  <si>
    <t xml:space="preserve">Total Capital Expenditure</t>
  </si>
  <si>
    <t xml:space="preserve">Financing Cost Budget</t>
  </si>
  <si>
    <t xml:space="preserve">Monthly interest expense, fees and projected balances</t>
  </si>
  <si>
    <t xml:space="preserve">Facility / Cost Line</t>
  </si>
  <si>
    <t xml:space="preserve">   Opening Balance</t>
  </si>
  <si>
    <t xml:space="preserve">   Drawdown</t>
  </si>
  <si>
    <t xml:space="preserve">   Interest Expense</t>
  </si>
  <si>
    <t xml:space="preserve">   Interest Payment</t>
  </si>
  <si>
    <t xml:space="preserve">   Principal Repayment</t>
  </si>
  <si>
    <t xml:space="preserve">   Closing Balance</t>
  </si>
  <si>
    <t xml:space="preserve">Corporate Revolving Facility</t>
  </si>
  <si>
    <t xml:space="preserve">Shareholder Loan</t>
  </si>
  <si>
    <t xml:space="preserve">Other Financing Costs</t>
  </si>
  <si>
    <t xml:space="preserve">Loan commitment fees</t>
  </si>
  <si>
    <t xml:space="preserve">Arrangement fees</t>
  </si>
  <si>
    <t xml:space="preserve">Bank charges</t>
  </si>
  <si>
    <t xml:space="preserve">Total Financing Cost</t>
  </si>
  <si>
    <t xml:space="preserve">Total Interest / Fees</t>
  </si>
  <si>
    <t xml:space="preserve">Cash Flow Budget</t>
  </si>
  <si>
    <t xml:space="preserve">Monthly budgeted cash flow statement</t>
  </si>
  <si>
    <t xml:space="preserve">Cash Flow Category</t>
  </si>
  <si>
    <t xml:space="preserve">Opening Cash</t>
  </si>
  <si>
    <t xml:space="preserve">Operating Cash Inflows</t>
  </si>
  <si>
    <t xml:space="preserve">Customer deposits from off-plan sales</t>
  </si>
  <si>
    <t xml:space="preserve">Completed property cash collections</t>
  </si>
  <si>
    <t xml:space="preserve">Hospitality / mgmt / other</t>
  </si>
  <si>
    <t xml:space="preserve">Total Operating Inflows</t>
  </si>
  <si>
    <t xml:space="preserve">Operating Cash Outflows</t>
  </si>
  <si>
    <t xml:space="preserve">Construction spend net of escrow releases</t>
  </si>
  <si>
    <t xml:space="preserve">Sales &amp; marketing spend</t>
  </si>
  <si>
    <t xml:space="preserve">Corporate operating expense</t>
  </si>
  <si>
    <t xml:space="preserve">Working capital movement</t>
  </si>
  <si>
    <t xml:space="preserve">Total Operating Outflows</t>
  </si>
  <si>
    <t xml:space="preserve">Net Operating Cash Flow</t>
  </si>
  <si>
    <t xml:space="preserve">Investing Cash Flow</t>
  </si>
  <si>
    <t xml:space="preserve">Capital expenditure</t>
  </si>
  <si>
    <t xml:space="preserve">Net Investing Cash Flow</t>
  </si>
  <si>
    <t xml:space="preserve">Financing Cash Flow</t>
  </si>
  <si>
    <t xml:space="preserve">Debt drawdowns</t>
  </si>
  <si>
    <t xml:space="preserve">Interest payments / fees</t>
  </si>
  <si>
    <t xml:space="preserve">Principal repayments</t>
  </si>
  <si>
    <t xml:space="preserve">Net Financing Cash Flow</t>
  </si>
  <si>
    <t xml:space="preserve">Net Change in Cash</t>
  </si>
  <si>
    <t xml:space="preserve">Closing Cash</t>
  </si>
  <si>
    <t xml:space="preserve">Working Capital Budget</t>
  </si>
  <si>
    <t xml:space="preserve">Projected working capital balances and monthly movements</t>
  </si>
  <si>
    <t xml:space="preserve">FY2026 Avg</t>
  </si>
  <si>
    <t xml:space="preserve">Accounts receivable</t>
  </si>
  <si>
    <t xml:space="preserve">Customer deposits</t>
  </si>
  <si>
    <t xml:space="preserve">Accounts payable</t>
  </si>
  <si>
    <t xml:space="preserve">Accrued expenses</t>
  </si>
  <si>
    <t xml:space="preserve">Net working capital</t>
  </si>
  <si>
    <t xml:space="preserve">Debt and Financing Schedule</t>
  </si>
  <si>
    <t xml:space="preserve">Debt obligations and key terms at FY2026 budget start</t>
  </si>
  <si>
    <t xml:space="preserve">Lender</t>
  </si>
  <si>
    <t xml:space="preserve">Facility / Loan Type</t>
  </si>
  <si>
    <t xml:space="preserve">Project / Purpose</t>
  </si>
  <si>
    <t xml:space="preserve">Interest Rate</t>
  </si>
  <si>
    <t xml:space="preserve">Outstanding Balance</t>
  </si>
  <si>
    <t xml:space="preserve">Facility Limit</t>
  </si>
  <si>
    <t xml:space="preserve">Maturity Date</t>
  </si>
  <si>
    <t xml:space="preserve">Jan Close</t>
  </si>
  <si>
    <t xml:space="preserve">Feb Close</t>
  </si>
  <si>
    <t xml:space="preserve">Mar Close</t>
  </si>
  <si>
    <t xml:space="preserve">Apr Close</t>
  </si>
  <si>
    <t xml:space="preserve">May Close</t>
  </si>
  <si>
    <t xml:space="preserve">Jun Close</t>
  </si>
  <si>
    <t xml:space="preserve">Jul Close</t>
  </si>
  <si>
    <t xml:space="preserve">Aug Close</t>
  </si>
  <si>
    <t xml:space="preserve">Sep Close</t>
  </si>
  <si>
    <t xml:space="preserve">Oct Close</t>
  </si>
  <si>
    <t xml:space="preserve">Nov Close</t>
  </si>
  <si>
    <t xml:space="preserve">Dec Close</t>
  </si>
  <si>
    <t xml:space="preserve">Emirates NBD</t>
  </si>
  <si>
    <t xml:space="preserve">Project Finance Facility</t>
  </si>
  <si>
    <t xml:space="preserve">30-Jun-2028</t>
  </si>
  <si>
    <t xml:space="preserve">First Abu Dhabi Bank</t>
  </si>
  <si>
    <t xml:space="preserve">31-Dec-2027</t>
  </si>
  <si>
    <t xml:space="preserve">ADCB</t>
  </si>
  <si>
    <t xml:space="preserve">30-Sep-2028</t>
  </si>
  <si>
    <t xml:space="preserve">Mashreq</t>
  </si>
  <si>
    <t xml:space="preserve">31-Mar-2029</t>
  </si>
  <si>
    <t xml:space="preserve">Corporate RCF</t>
  </si>
  <si>
    <t xml:space="preserve">31-Dec-2026</t>
  </si>
  <si>
    <t xml:space="preserve">Aurelia Holdings</t>
  </si>
  <si>
    <t xml:space="preserve">31-Dec-2028</t>
  </si>
  <si>
    <t xml:space="preserve">Note</t>
  </si>
  <si>
    <t xml:space="preserve">Monthly closing balances support financing cost and lender reporting.</t>
  </si>
  <si>
    <t xml:space="preserve">Budget vs Forecast Structure</t>
  </si>
  <si>
    <t xml:space="preserve">Template for future budget vs actual tracking</t>
  </si>
  <si>
    <t xml:space="preserve">Financial Metric</t>
  </si>
  <si>
    <t xml:space="preserve">Jan Budget</t>
  </si>
  <si>
    <t xml:space="preserve">Feb Budget</t>
  </si>
  <si>
    <t xml:space="preserve">Mar Budget</t>
  </si>
  <si>
    <t xml:space="preserve">Apr Budget</t>
  </si>
  <si>
    <t xml:space="preserve">May Budget</t>
  </si>
  <si>
    <t xml:space="preserve">Jun Budget</t>
  </si>
  <si>
    <t xml:space="preserve">Jul Budget</t>
  </si>
  <si>
    <t xml:space="preserve">Aug Budget</t>
  </si>
  <si>
    <t xml:space="preserve">Sep Budget</t>
  </si>
  <si>
    <t xml:space="preserve">Oct Budget</t>
  </si>
  <si>
    <t xml:space="preserve">Nov Budget</t>
  </si>
  <si>
    <t xml:space="preserve">Dec Budget</t>
  </si>
  <si>
    <t xml:space="preserve">FY Budget</t>
  </si>
  <si>
    <t xml:space="preserve">Actual</t>
  </si>
  <si>
    <t xml:space="preserve">Variance</t>
  </si>
  <si>
    <t xml:space="preserve">Sensitivity Analysis</t>
  </si>
  <si>
    <t xml:space="preserve">Impact on EBITDA and closing cash from key budget sensitivities</t>
  </si>
  <si>
    <t xml:space="preserve">Closing Cash Sensitivity: Sales Price vs Construction Cost</t>
  </si>
  <si>
    <t xml:space="preserve">-10%</t>
  </si>
  <si>
    <t xml:space="preserve">-5%</t>
  </si>
  <si>
    <t xml:space="preserve">Base</t>
  </si>
  <si>
    <t xml:space="preserve">+5%</t>
  </si>
  <si>
    <t xml:space="preserve">+10%</t>
  </si>
  <si>
    <t xml:space="preserve">EBITDA Sensitivity: Sales Velocity vs Interest Rate</t>
  </si>
  <si>
    <t xml:space="preserve">-100bps</t>
  </si>
  <si>
    <t xml:space="preserve">-50bps</t>
  </si>
  <si>
    <t xml:space="preserve">+50bps</t>
  </si>
  <si>
    <t xml:space="preserve">+100bps</t>
  </si>
  <si>
    <t xml:space="preserve">Risk Commentary</t>
  </si>
  <si>
    <t xml:space="preserve">Qualitative budget narrative for management, board and investor review</t>
  </si>
  <si>
    <t xml:space="preserve">Key Budget Assumptions</t>
  </si>
  <si>
    <t xml:space="preserve">The FY2026 budget assumes continued resilience in Dubai luxury residential demand, modest selling price appreciation of approximately 4%, and steady project execution across the four core developments. Off-plan collections are modeled using a 30% in-year customer deposit profile, with escrow releases capped at 85% of eligible construction spend.</t>
  </si>
  <si>
    <t xml:space="preserve">Construction budgets assume 5% cost inflation versus the prior planning cycle and continued pressure on façade, MEP and specialist subcontractor packages. The budget also assumes no major scope changes or regulatory delays beyond ordinary permitting and handover coordination.</t>
  </si>
  <si>
    <t xml:space="preserve">Major financial risks include slower off-plan absorption, handover timing slippage, contractor claims, higher-than-budgeted interest costs, and tighter escrow release mechanics. These risks would primarily pressure EBITDA conversion, working capital, and closing cash.</t>
  </si>
  <si>
    <t xml:space="preserve">Market demand assumptions reflect luxury waterfront and branded residence pricing strength, continued broker channel support, and stable international buyer activity. Downside exposure remains concentrated in larger-ticket villa inventory and branded residence sell-through if macro liquidity tightens.</t>
  </si>
  <si>
    <t xml:space="preserve">Construction Risk Factors</t>
  </si>
  <si>
    <t xml:space="preserve">•</t>
  </si>
  <si>
    <t xml:space="preserve">Main contractor cash flow and subcontractor coordination across active sites</t>
  </si>
  <si>
    <t xml:space="preserve">Façade lead times and imported material cost volatility</t>
  </si>
  <si>
    <t xml:space="preserve">MEP procurement timing and commissioning readiness</t>
  </si>
  <si>
    <t xml:space="preserve">Infrastructure interfaces with utilities and external authorities</t>
  </si>
  <si>
    <t xml:space="preserve">Management Actions</t>
  </si>
  <si>
    <t xml:space="preserve">Maintain monthly cost-to-complete reviews and contractor claim registers.</t>
  </si>
  <si>
    <t xml:space="preserve">Reforecast project collections and escrow releases alongside monthly sales performance.</t>
  </si>
  <si>
    <t xml:space="preserve">Preserve corporate liquidity headroom through staged CapEx and controlled discretionary spend.</t>
  </si>
  <si>
    <t xml:space="preserve">Update lender reporting packs monthly and monitor covenant headroom on all facilities.</t>
  </si>
  <si>
    <t xml:space="preserve">Helper Calculations</t>
  </si>
  <si>
    <t xml:space="preserve">Units Sold</t>
  </si>
  <si>
    <t xml:space="preserve">Sales Value</t>
  </si>
  <si>
    <t xml:space="preserve">Off-plan Revenue</t>
  </si>
  <si>
    <t xml:space="preserve">Completed Revenue</t>
  </si>
  <si>
    <t xml:space="preserve">Customer Deposits</t>
  </si>
  <si>
    <t xml:space="preserve">Escrow Release</t>
  </si>
  <si>
    <t xml:space="preserve">Aggregates</t>
  </si>
  <si>
    <t xml:space="preserve">Total Off-plan Revenue</t>
  </si>
  <si>
    <t xml:space="preserve">Total Completed Revenue</t>
  </si>
  <si>
    <t xml:space="preserve">Total Customer Deposits</t>
  </si>
  <si>
    <t xml:space="preserve">Total Escrow Release</t>
  </si>
  <si>
    <t xml:space="preserve">Total Construction Spend</t>
  </si>
  <si>
    <t xml:space="preserve">Working Capital Drivers</t>
  </si>
  <si>
    <t xml:space="preserve">Closing AR</t>
  </si>
  <si>
    <t xml:space="preserve">Closing Customer Deposits</t>
  </si>
  <si>
    <t xml:space="preserve">Closing AP</t>
  </si>
  <si>
    <t xml:space="preserve">Closing Accrued Expenses</t>
  </si>
</sst>
</file>

<file path=xl/styles.xml><?xml version="1.0" encoding="utf-8"?>
<styleSheet xmlns="http://schemas.openxmlformats.org/spreadsheetml/2006/main">
  <numFmts count="4">
    <numFmt numFmtId="164" formatCode="General"/>
    <numFmt numFmtId="165" formatCode="#,##0;[RED]\(#,##0\);\-"/>
    <numFmt numFmtId="166" formatCode="mmm\-yy"/>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5"/>
      <color rgb="FFFFFFFF"/>
      <name val="Aptos"/>
      <family val="0"/>
      <charset val="1"/>
    </font>
    <font>
      <sz val="9"/>
      <color rgb="FF666666"/>
      <name val="Aptos"/>
      <family val="0"/>
      <charset val="1"/>
    </font>
    <font>
      <b val="true"/>
      <sz val="11"/>
      <color rgb="FFFFFFFF"/>
      <name val="Aptos"/>
      <family val="0"/>
      <charset val="1"/>
    </font>
    <font>
      <b val="true"/>
      <sz val="11"/>
      <name val="Aptos"/>
      <family val="0"/>
      <charset val="1"/>
    </font>
    <font>
      <sz val="11"/>
      <color rgb="FF008000"/>
      <name val="Aptos"/>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ptos"/>
      <family val="0"/>
      <charset val="1"/>
    </font>
    <font>
      <sz val="10"/>
      <name val="Arial"/>
      <family val="2"/>
    </font>
    <font>
      <sz val="11"/>
      <color rgb="FF000000"/>
      <name val="Aptos"/>
      <family val="0"/>
      <charset val="1"/>
    </font>
    <font>
      <b val="true"/>
      <sz val="11"/>
      <color rgb="FF000000"/>
      <name val="Aptos"/>
      <family val="0"/>
      <charset val="1"/>
    </font>
  </fonts>
  <fills count="8">
    <fill>
      <patternFill patternType="none"/>
    </fill>
    <fill>
      <patternFill patternType="gray125"/>
    </fill>
    <fill>
      <patternFill patternType="solid">
        <fgColor rgb="FF0B1F3A"/>
        <bgColor rgb="FF003300"/>
      </patternFill>
    </fill>
    <fill>
      <patternFill patternType="solid">
        <fgColor rgb="FF7F8C8D"/>
        <bgColor rgb="FF878787"/>
      </patternFill>
    </fill>
    <fill>
      <patternFill patternType="solid">
        <fgColor rgb="FFD9E1F2"/>
        <bgColor rgb="FFDDEBF7"/>
      </patternFill>
    </fill>
    <fill>
      <patternFill patternType="solid">
        <fgColor rgb="FFE2F0D9"/>
        <bgColor rgb="FFDDEBF7"/>
      </patternFill>
    </fill>
    <fill>
      <patternFill patternType="solid">
        <fgColor rgb="FF1F4E78"/>
        <bgColor rgb="FF333333"/>
      </patternFill>
    </fill>
    <fill>
      <patternFill patternType="solid">
        <fgColor rgb="FFDDEBF7"/>
        <bgColor rgb="FFD9E1F2"/>
      </patternFill>
    </fill>
  </fills>
  <borders count="2">
    <border diagonalUp="false" diagonalDown="false">
      <left/>
      <right/>
      <top/>
      <bottom/>
      <diagonal/>
    </border>
    <border diagonalUp="false" diagonalDown="false">
      <left/>
      <right/>
      <top style="medium">
        <color rgb="FF0B1F3A"/>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left"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5" fontId="12" fillId="7"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C0C0C0"/>
      <rgbColor rgb="FF878787"/>
      <rgbColor rgb="FF9999FF"/>
      <rgbColor rgb="FFC0504D"/>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F0D9"/>
      <rgbColor rgb="FFFFFF99"/>
      <rgbColor rgb="FF99CCFF"/>
      <rgbColor rgb="FFFF99CC"/>
      <rgbColor rgb="FFCC99FF"/>
      <rgbColor rgb="FFFFCC99"/>
      <rgbColor rgb="FF4A7EBB"/>
      <rgbColor rgb="FF4BACC6"/>
      <rgbColor rgb="FF9BBB59"/>
      <rgbColor rgb="FFFFCC00"/>
      <rgbColor rgb="FFFF9900"/>
      <rgbColor rgb="FFFF6600"/>
      <rgbColor rgb="FF8064A2"/>
      <rgbColor rgb="FF7F8C8D"/>
      <rgbColor rgb="FF0B1F3A"/>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Revenue by Month</a:t>
            </a:r>
          </a:p>
        </c:rich>
      </c:tx>
      <c:overlay val="0"/>
      <c:spPr>
        <a:noFill/>
        <a:ln w="0">
          <a:noFill/>
        </a:ln>
      </c:spPr>
    </c:title>
    <c:autoTitleDeleted val="0"/>
    <c:plotArea>
      <c:lineChart>
        <c:grouping val="standard"/>
        <c:varyColors val="0"/>
        <c:ser>
          <c:idx val="0"/>
          <c:order val="0"/>
          <c:tx>
            <c:strRef>
              <c:f>'01 Dashboard'!F4</c:f>
              <c:strCache>
                <c:ptCount val="1"/>
                <c:pt idx="0">
                  <c:v>Revenue</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'01 Dashboard'!$E$5:$E$16</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'01 Dashboard'!$F$5:$F$16</c:f>
              <c:numCache>
                <c:formatCode>#,##0;[RED]\(#,##0\);\-</c:formatCode>
                <c:ptCount val="12"/>
                <c:pt idx="0">
                  <c:v>128709.76</c:v>
                </c:pt>
                <c:pt idx="1">
                  <c:v>147558.053333333</c:v>
                </c:pt>
                <c:pt idx="2">
                  <c:v>166406.474444444</c:v>
                </c:pt>
                <c:pt idx="3">
                  <c:v>166445.063759259</c:v>
                </c:pt>
                <c:pt idx="4">
                  <c:v>185293.741705123</c:v>
                </c:pt>
                <c:pt idx="5">
                  <c:v>185332.588710807</c:v>
                </c:pt>
                <c:pt idx="6">
                  <c:v>204181.52520651</c:v>
                </c:pt>
                <c:pt idx="7">
                  <c:v>204220.631623865</c:v>
                </c:pt>
                <c:pt idx="8">
                  <c:v>185449.908395944</c:v>
                </c:pt>
                <c:pt idx="9">
                  <c:v>185489.275957264</c:v>
                </c:pt>
                <c:pt idx="10">
                  <c:v>166718.814743789</c:v>
                </c:pt>
                <c:pt idx="11">
                  <c:v>147948.485192935</c:v>
                </c:pt>
              </c:numCache>
            </c:numRef>
          </c:val>
          <c:smooth val="1"/>
        </c:ser>
        <c:hiLowLines>
          <c:spPr>
            <a:ln w="0">
              <a:noFill/>
            </a:ln>
          </c:spPr>
        </c:hiLowLines>
        <c:marker val="0"/>
        <c:axId val="46065885"/>
        <c:axId val="50715830"/>
      </c:lineChart>
      <c:catAx>
        <c:axId val="46065885"/>
        <c:scaling>
          <c:orientation val="minMax"/>
        </c:scaling>
        <c:delete val="0"/>
        <c:axPos val="b"/>
        <c:numFmt formatCode="mmm\-yy"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0715830"/>
        <c:crosses val="autoZero"/>
        <c:auto val="1"/>
        <c:lblAlgn val="ctr"/>
        <c:lblOffset val="100"/>
        <c:noMultiLvlLbl val="0"/>
      </c:catAx>
      <c:valAx>
        <c:axId val="50715830"/>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AED'000</a:t>
                </a:r>
              </a:p>
            </c:rich>
          </c:tx>
          <c:overlay val="0"/>
          <c:spPr>
            <a:noFill/>
            <a:ln w="0">
              <a:noFill/>
            </a:ln>
          </c:spPr>
        </c:title>
        <c:numFmt formatCode="#,##0;[RED]\(#,##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6065885"/>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Construction Spending by Month</a:t>
            </a:r>
          </a:p>
        </c:rich>
      </c:tx>
      <c:overlay val="0"/>
      <c:spPr>
        <a:noFill/>
        <a:ln w="0">
          <a:noFill/>
        </a:ln>
      </c:spPr>
    </c:title>
    <c:autoTitleDeleted val="0"/>
    <c:plotArea>
      <c:barChart>
        <c:barDir val="col"/>
        <c:grouping val="clustered"/>
        <c:varyColors val="0"/>
        <c:ser>
          <c:idx val="0"/>
          <c:order val="0"/>
          <c:tx>
            <c:strRef>
              <c:f>'01 Dashboard'!G4</c:f>
              <c:strCache>
                <c:ptCount val="1"/>
                <c:pt idx="0">
                  <c:v>Construction Spend</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Dashboard'!$E$5:$E$16</c:f>
              <c:strCache>
                <c:ptCount val="12"/>
                <c:pt idx="0">
                  <c:v>Jan-26</c:v>
                </c:pt>
                <c:pt idx="1">
                  <c:v>Feb-26</c:v>
                </c:pt>
                <c:pt idx="2">
                  <c:v>Mar-26</c:v>
                </c:pt>
                <c:pt idx="3">
                  <c:v>Apr-26</c:v>
                </c:pt>
                <c:pt idx="4">
                  <c:v>May-26</c:v>
                </c:pt>
                <c:pt idx="5">
                  <c:v>Jun-26</c:v>
                </c:pt>
                <c:pt idx="6">
                  <c:v>Jul-26</c:v>
                </c:pt>
                <c:pt idx="7">
                  <c:v>Aug-26</c:v>
                </c:pt>
                <c:pt idx="8">
                  <c:v>Sep-26</c:v>
                </c:pt>
                <c:pt idx="9">
                  <c:v>Oct-26</c:v>
                </c:pt>
                <c:pt idx="10">
                  <c:v>Nov-26</c:v>
                </c:pt>
                <c:pt idx="11">
                  <c:v>Dec-26</c:v>
                </c:pt>
              </c:strCache>
            </c:strRef>
          </c:cat>
          <c:val>
            <c:numRef>
              <c:f>'01 Dashboard'!$G$5:$G$16</c:f>
              <c:numCache>
                <c:formatCode>#,##0;[RED]\(#,##0\);\-</c:formatCode>
                <c:ptCount val="12"/>
                <c:pt idx="0">
                  <c:v>82099.5</c:v>
                </c:pt>
                <c:pt idx="1">
                  <c:v>82099.5</c:v>
                </c:pt>
                <c:pt idx="2">
                  <c:v>93828</c:v>
                </c:pt>
                <c:pt idx="3">
                  <c:v>93828</c:v>
                </c:pt>
                <c:pt idx="4">
                  <c:v>105556.5</c:v>
                </c:pt>
                <c:pt idx="5">
                  <c:v>105556.5</c:v>
                </c:pt>
                <c:pt idx="6">
                  <c:v>105556.5</c:v>
                </c:pt>
                <c:pt idx="7">
                  <c:v>117285</c:v>
                </c:pt>
                <c:pt idx="8">
                  <c:v>117285</c:v>
                </c:pt>
                <c:pt idx="9">
                  <c:v>105556.5</c:v>
                </c:pt>
                <c:pt idx="10">
                  <c:v>93828</c:v>
                </c:pt>
                <c:pt idx="11">
                  <c:v>70371</c:v>
                </c:pt>
              </c:numCache>
            </c:numRef>
          </c:val>
        </c:ser>
        <c:gapWidth val="150"/>
        <c:overlap val="0"/>
        <c:axId val="46461161"/>
        <c:axId val="81836058"/>
      </c:barChart>
      <c:catAx>
        <c:axId val="46461161"/>
        <c:scaling>
          <c:orientation val="minMax"/>
        </c:scaling>
        <c:delete val="0"/>
        <c:axPos val="b"/>
        <c:numFmt formatCode="mmm\-yy"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1836058"/>
        <c:crosses val="autoZero"/>
        <c:auto val="1"/>
        <c:lblAlgn val="ctr"/>
        <c:lblOffset val="100"/>
        <c:noMultiLvlLbl val="0"/>
      </c:catAx>
      <c:valAx>
        <c:axId val="81836058"/>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AED'000</a:t>
                </a:r>
              </a:p>
            </c:rich>
          </c:tx>
          <c:overlay val="0"/>
          <c:spPr>
            <a:noFill/>
            <a:ln w="0">
              <a:noFill/>
            </a:ln>
          </c:spPr>
        </c:title>
        <c:numFmt formatCode="#,##0;[RED]\(#,##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6461161"/>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Budget Allocation by Category</a:t>
            </a:r>
          </a:p>
        </c:rich>
      </c:tx>
      <c:overlay val="0"/>
      <c:spPr>
        <a:noFill/>
        <a:ln w="0">
          <a:noFill/>
        </a:ln>
      </c:spPr>
    </c:title>
    <c:autoTitleDeleted val="0"/>
    <c:plotArea>
      <c:pieChart>
        <c:varyColors val="1"/>
        <c:ser>
          <c:idx val="0"/>
          <c:order val="0"/>
          <c:tx>
            <c:strRef>
              <c:f>'01 Dashboard'!J4</c:f>
              <c:strCache>
                <c:ptCount val="1"/>
                <c:pt idx="0">
                  <c:v>Annual Budget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dLbls>
          <c:cat>
            <c:strRef>
              <c:f>'01 Dashboard'!$I$5:$I$9</c:f>
              <c:strCache>
                <c:ptCount val="5"/>
                <c:pt idx="0">
                  <c:v>Construction</c:v>
                </c:pt>
                <c:pt idx="1">
                  <c:v>Sales &amp; Marketing</c:v>
                </c:pt>
                <c:pt idx="2">
                  <c:v>Corporate Opex</c:v>
                </c:pt>
                <c:pt idx="3">
                  <c:v>CapEx</c:v>
                </c:pt>
                <c:pt idx="4">
                  <c:v>Financing Cost</c:v>
                </c:pt>
              </c:strCache>
            </c:strRef>
          </c:cat>
          <c:val>
            <c:numRef>
              <c:f>'01 Dashboard'!$J$5:$J$9</c:f>
              <c:numCache>
                <c:formatCode>#,##0;[RED]\(#,##0\);\-</c:formatCode>
                <c:ptCount val="5"/>
                <c:pt idx="0">
                  <c:v>1172850</c:v>
                </c:pt>
                <c:pt idx="1">
                  <c:v>9500</c:v>
                </c:pt>
                <c:pt idx="2">
                  <c:v>108662.603317669</c:v>
                </c:pt>
                <c:pt idx="3">
                  <c:v>105400</c:v>
                </c:pt>
                <c:pt idx="4">
                  <c:v>74375.86885165</c:v>
                </c:pt>
              </c:numCache>
            </c:numRef>
          </c:val>
        </c:ser>
        <c:firstSliceAng val="0"/>
      </c:pieChart>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16</xdr:row>
      <xdr:rowOff>127800</xdr:rowOff>
    </xdr:from>
    <xdr:to>
      <xdr:col>8</xdr:col>
      <xdr:colOff>528840</xdr:colOff>
      <xdr:row>29</xdr:row>
      <xdr:rowOff>171000</xdr:rowOff>
    </xdr:to>
    <xdr:graphicFrame>
      <xdr:nvGraphicFramePr>
        <xdr:cNvPr id="0" name="Chart 1"/>
        <xdr:cNvGraphicFramePr/>
      </xdr:nvGraphicFramePr>
      <xdr:xfrm>
        <a:off x="6250320" y="3238560"/>
        <a:ext cx="39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32</xdr:row>
      <xdr:rowOff>127800</xdr:rowOff>
    </xdr:from>
    <xdr:to>
      <xdr:col>8</xdr:col>
      <xdr:colOff>528840</xdr:colOff>
      <xdr:row>45</xdr:row>
      <xdr:rowOff>171000</xdr:rowOff>
    </xdr:to>
    <xdr:graphicFrame>
      <xdr:nvGraphicFramePr>
        <xdr:cNvPr id="1" name="Chart 2"/>
        <xdr:cNvGraphicFramePr/>
      </xdr:nvGraphicFramePr>
      <xdr:xfrm>
        <a:off x="6250320" y="6286680"/>
        <a:ext cx="395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16</xdr:row>
      <xdr:rowOff>127800</xdr:rowOff>
    </xdr:from>
    <xdr:to>
      <xdr:col>11</xdr:col>
      <xdr:colOff>90720</xdr:colOff>
      <xdr:row>31</xdr:row>
      <xdr:rowOff>149760</xdr:rowOff>
    </xdr:to>
    <xdr:graphicFrame>
      <xdr:nvGraphicFramePr>
        <xdr:cNvPr id="2" name="Chart 3"/>
        <xdr:cNvGraphicFramePr/>
      </xdr:nvGraphicFramePr>
      <xdr:xfrm>
        <a:off x="9681120" y="3238560"/>
        <a:ext cx="32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38"/>
    <col collapsed="false" customWidth="true" hidden="false" outlineLevel="0" max="5" min="5" style="0" width="12"/>
    <col collapsed="false" customWidth="true" hidden="false" outlineLevel="0" max="7" min="6" style="0" width="14"/>
    <col collapsed="false" customWidth="true" hidden="false" outlineLevel="0" max="9" min="9" style="0" width="20"/>
    <col collapsed="false" customWidth="true" hidden="false" outlineLevel="0" max="10" min="10" style="0" width="16"/>
  </cols>
  <sheetData>
    <row r="1" customFormat="false" ht="18.55" hidden="false" customHeight="fals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4" customFormat="false" ht="16.4" hidden="false" customHeight="false" outlineLevel="0" collapsed="false">
      <c r="A4" s="3" t="s">
        <v>2</v>
      </c>
      <c r="B4" s="3" t="s">
        <v>3</v>
      </c>
      <c r="C4" s="3" t="s">
        <v>4</v>
      </c>
      <c r="E4" s="4" t="s">
        <v>5</v>
      </c>
      <c r="F4" s="4" t="s">
        <v>6</v>
      </c>
      <c r="G4" s="4" t="s">
        <v>7</v>
      </c>
      <c r="I4" s="4" t="s">
        <v>8</v>
      </c>
      <c r="J4" s="4" t="s">
        <v>9</v>
      </c>
    </row>
    <row r="5" customFormat="false" ht="15" hidden="false" customHeight="false" outlineLevel="0" collapsed="false">
      <c r="A5" s="5" t="s">
        <v>6</v>
      </c>
      <c r="B5" s="6" t="n">
        <f aca="false">'03 Revenue Budget'!N11</f>
        <v>2073754.32307327</v>
      </c>
      <c r="C5" s="0" t="s">
        <v>10</v>
      </c>
      <c r="E5" s="7" t="n">
        <v>46023</v>
      </c>
      <c r="F5" s="8" t="n">
        <f aca="false">'03 Revenue Budget'!B11</f>
        <v>128709.76</v>
      </c>
      <c r="G5" s="8" t="n">
        <f aca="false">'05 Construction Cost Budget'!B49</f>
        <v>82099.5</v>
      </c>
      <c r="I5" s="0" t="s">
        <v>11</v>
      </c>
      <c r="J5" s="8" t="n">
        <f aca="false">'05 Construction Cost Budget'!N49</f>
        <v>1172850</v>
      </c>
    </row>
    <row r="6" customFormat="false" ht="15" hidden="false" customHeight="false" outlineLevel="0" collapsed="false">
      <c r="A6" s="5" t="s">
        <v>12</v>
      </c>
      <c r="B6" s="6" t="n">
        <f aca="false">'14 Budget vs Forecast'!N6</f>
        <v>900904.323073274</v>
      </c>
      <c r="C6" s="0" t="s">
        <v>13</v>
      </c>
      <c r="E6" s="7" t="n">
        <v>46054</v>
      </c>
      <c r="F6" s="8" t="n">
        <f aca="false">'03 Revenue Budget'!C11</f>
        <v>147558.053333333</v>
      </c>
      <c r="G6" s="8" t="n">
        <f aca="false">'05 Construction Cost Budget'!C49</f>
        <v>82099.5</v>
      </c>
      <c r="I6" s="0" t="s">
        <v>14</v>
      </c>
      <c r="J6" s="8" t="n">
        <f aca="false">'06 Sales and Marketing Budget'!N10</f>
        <v>9500</v>
      </c>
    </row>
    <row r="7" customFormat="false" ht="15" hidden="false" customHeight="false" outlineLevel="0" collapsed="false">
      <c r="A7" s="5" t="s">
        <v>15</v>
      </c>
      <c r="B7" s="6" t="n">
        <f aca="false">'14 Budget vs Forecast'!N7</f>
        <v>782741.719755605</v>
      </c>
      <c r="C7" s="0" t="s">
        <v>16</v>
      </c>
      <c r="E7" s="7" t="n">
        <v>46082</v>
      </c>
      <c r="F7" s="8" t="n">
        <f aca="false">'03 Revenue Budget'!D11</f>
        <v>166406.474444444</v>
      </c>
      <c r="G7" s="8" t="n">
        <f aca="false">'05 Construction Cost Budget'!D49</f>
        <v>93828</v>
      </c>
      <c r="I7" s="0" t="s">
        <v>17</v>
      </c>
      <c r="J7" s="8" t="n">
        <f aca="false">'07 Corporate Opex'!N15</f>
        <v>108662.603317669</v>
      </c>
    </row>
    <row r="8" customFormat="false" ht="15" hidden="false" customHeight="false" outlineLevel="0" collapsed="false">
      <c r="A8" s="5" t="s">
        <v>18</v>
      </c>
      <c r="B8" s="6" t="n">
        <f aca="false">'14 Budget vs Forecast'!N8</f>
        <v>118162.603317669</v>
      </c>
      <c r="C8" s="0" t="s">
        <v>19</v>
      </c>
      <c r="E8" s="7" t="n">
        <v>46113</v>
      </c>
      <c r="F8" s="8" t="n">
        <f aca="false">'03 Revenue Budget'!E11</f>
        <v>166445.063759259</v>
      </c>
      <c r="G8" s="8" t="n">
        <f aca="false">'05 Construction Cost Budget'!E49</f>
        <v>93828</v>
      </c>
      <c r="I8" s="0" t="s">
        <v>20</v>
      </c>
      <c r="J8" s="8" t="n">
        <f aca="false">'09 CapEx Budget'!N10</f>
        <v>105400</v>
      </c>
    </row>
    <row r="9" customFormat="false" ht="15" hidden="false" customHeight="false" outlineLevel="0" collapsed="false">
      <c r="A9" s="5" t="s">
        <v>21</v>
      </c>
      <c r="B9" s="6" t="n">
        <f aca="false">'14 Budget vs Forecast'!N9</f>
        <v>708365.850903956</v>
      </c>
      <c r="C9" s="0" t="s">
        <v>22</v>
      </c>
      <c r="E9" s="7" t="n">
        <v>46143</v>
      </c>
      <c r="F9" s="8" t="n">
        <f aca="false">'03 Revenue Budget'!F11</f>
        <v>185293.741705123</v>
      </c>
      <c r="G9" s="8" t="n">
        <f aca="false">'05 Construction Cost Budget'!F49</f>
        <v>105556.5</v>
      </c>
      <c r="I9" s="0" t="s">
        <v>23</v>
      </c>
      <c r="J9" s="8" t="n">
        <f aca="false">'10 Financing Cost'!N64</f>
        <v>74375.86885165</v>
      </c>
    </row>
    <row r="10" customFormat="false" ht="15" hidden="false" customHeight="false" outlineLevel="0" collapsed="false">
      <c r="A10" s="5" t="s">
        <v>24</v>
      </c>
      <c r="B10" s="6" t="n">
        <f aca="false">'05 Construction Cost Budget'!N49</f>
        <v>1172850</v>
      </c>
      <c r="C10" s="0" t="s">
        <v>25</v>
      </c>
      <c r="E10" s="7" t="n">
        <v>46174</v>
      </c>
      <c r="F10" s="8" t="n">
        <f aca="false">'03 Revenue Budget'!G11</f>
        <v>185332.588710807</v>
      </c>
      <c r="G10" s="8" t="n">
        <f aca="false">'05 Construction Cost Budget'!G49</f>
        <v>105556.5</v>
      </c>
    </row>
    <row r="11" customFormat="false" ht="15" hidden="false" customHeight="false" outlineLevel="0" collapsed="false">
      <c r="A11" s="5" t="s">
        <v>26</v>
      </c>
      <c r="B11" s="6" t="n">
        <f aca="false">'09 CapEx Budget'!N10</f>
        <v>105400</v>
      </c>
      <c r="C11" s="0" t="s">
        <v>27</v>
      </c>
      <c r="E11" s="7" t="n">
        <v>46204</v>
      </c>
      <c r="F11" s="8" t="n">
        <f aca="false">'03 Revenue Budget'!H11</f>
        <v>204181.52520651</v>
      </c>
      <c r="G11" s="8" t="n">
        <f aca="false">'05 Construction Cost Budget'!H49</f>
        <v>105556.5</v>
      </c>
    </row>
    <row r="12" customFormat="false" ht="15" hidden="false" customHeight="false" outlineLevel="0" collapsed="false">
      <c r="A12" s="5" t="s">
        <v>28</v>
      </c>
      <c r="B12" s="6" t="n">
        <f aca="false">SUM('13 Debt Schedule'!S5:S10)</f>
        <v>3173734.1917865</v>
      </c>
      <c r="C12" s="0" t="s">
        <v>29</v>
      </c>
      <c r="E12" s="7" t="n">
        <v>46235</v>
      </c>
      <c r="F12" s="8" t="n">
        <f aca="false">'03 Revenue Budget'!I11</f>
        <v>204220.631623865</v>
      </c>
      <c r="G12" s="8" t="n">
        <f aca="false">'05 Construction Cost Budget'!I49</f>
        <v>117285</v>
      </c>
    </row>
    <row r="13" customFormat="false" ht="15" hidden="false" customHeight="false" outlineLevel="0" collapsed="false">
      <c r="E13" s="7" t="n">
        <v>46266</v>
      </c>
      <c r="F13" s="8" t="n">
        <f aca="false">'03 Revenue Budget'!J11</f>
        <v>185449.908395944</v>
      </c>
      <c r="G13" s="8" t="n">
        <f aca="false">'05 Construction Cost Budget'!J49</f>
        <v>117285</v>
      </c>
    </row>
    <row r="14" customFormat="false" ht="15" hidden="false" customHeight="false" outlineLevel="0" collapsed="false">
      <c r="E14" s="7" t="n">
        <v>46296</v>
      </c>
      <c r="F14" s="8" t="n">
        <f aca="false">'03 Revenue Budget'!K11</f>
        <v>185489.275957264</v>
      </c>
      <c r="G14" s="8" t="n">
        <f aca="false">'05 Construction Cost Budget'!K49</f>
        <v>105556.5</v>
      </c>
    </row>
    <row r="15" customFormat="false" ht="15" hidden="false" customHeight="false" outlineLevel="0" collapsed="false">
      <c r="E15" s="7" t="n">
        <v>46327</v>
      </c>
      <c r="F15" s="8" t="n">
        <f aca="false">'03 Revenue Budget'!L11</f>
        <v>166718.814743789</v>
      </c>
      <c r="G15" s="8" t="n">
        <f aca="false">'05 Construction Cost Budget'!L49</f>
        <v>93828</v>
      </c>
    </row>
    <row r="16" customFormat="false" ht="15" hidden="false" customHeight="false" outlineLevel="0" collapsed="false">
      <c r="E16" s="7" t="n">
        <v>46357</v>
      </c>
      <c r="F16" s="8" t="n">
        <f aca="false">'03 Revenue Budget'!M11</f>
        <v>147948.485192935</v>
      </c>
      <c r="G16" s="8" t="n">
        <f aca="false">'05 Construction Cost Budget'!M49</f>
        <v>70371</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8"/>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3" min="10" style="0" width="13"/>
  </cols>
  <sheetData>
    <row r="1" customFormat="false" ht="18.55" hidden="false" customHeight="false" outlineLevel="0" collapsed="false">
      <c r="A1" s="1" t="s">
        <v>30</v>
      </c>
      <c r="B1" s="1"/>
      <c r="C1" s="1"/>
      <c r="D1" s="1"/>
      <c r="E1" s="1"/>
      <c r="F1" s="1"/>
      <c r="G1" s="1"/>
      <c r="H1" s="1"/>
      <c r="I1" s="1"/>
      <c r="J1" s="1"/>
      <c r="K1" s="1"/>
      <c r="L1" s="1"/>
      <c r="M1" s="1"/>
      <c r="N1" s="1"/>
      <c r="O1" s="1"/>
      <c r="P1" s="1"/>
    </row>
    <row r="2" customFormat="false" ht="15" hidden="false" customHeight="false" outlineLevel="0" collapsed="false">
      <c r="A2" s="2" t="s">
        <v>31</v>
      </c>
      <c r="B2" s="2"/>
      <c r="C2" s="2"/>
      <c r="D2" s="2"/>
      <c r="E2" s="2"/>
      <c r="F2" s="2"/>
      <c r="G2" s="2"/>
      <c r="H2" s="2"/>
      <c r="I2" s="2"/>
      <c r="J2" s="2"/>
      <c r="K2" s="2"/>
      <c r="L2" s="2"/>
      <c r="M2" s="2"/>
      <c r="N2" s="2"/>
      <c r="O2" s="2"/>
      <c r="P2" s="2"/>
    </row>
    <row r="4" customFormat="false" ht="15" hidden="false" customHeight="false" outlineLevel="0" collapsed="false">
      <c r="A4" s="9" t="s">
        <v>32</v>
      </c>
      <c r="B4" s="9"/>
      <c r="C4" s="9"/>
      <c r="D4" s="9"/>
      <c r="E4" s="9"/>
    </row>
    <row r="5" customFormat="false" ht="31.3" hidden="false" customHeight="false" outlineLevel="0" collapsed="false">
      <c r="A5" s="3" t="s">
        <v>33</v>
      </c>
      <c r="B5" s="3" t="s">
        <v>34</v>
      </c>
      <c r="C5" s="3" t="s">
        <v>35</v>
      </c>
      <c r="D5" s="3" t="s">
        <v>36</v>
      </c>
      <c r="E5" s="3" t="s">
        <v>4</v>
      </c>
    </row>
    <row r="6" customFormat="false" ht="15" hidden="false" customHeight="false" outlineLevel="0" collapsed="false">
      <c r="A6" s="0" t="s">
        <v>37</v>
      </c>
      <c r="B6" s="10" t="n">
        <v>0.05</v>
      </c>
      <c r="C6" s="11" t="n">
        <f aca="false">B6</f>
        <v>0.05</v>
      </c>
      <c r="D6" s="0" t="s">
        <v>38</v>
      </c>
      <c r="E6" s="0" t="s">
        <v>39</v>
      </c>
    </row>
    <row r="7" customFormat="false" ht="15" hidden="false" customHeight="false" outlineLevel="0" collapsed="false">
      <c r="A7" s="0" t="s">
        <v>40</v>
      </c>
      <c r="B7" s="10" t="n">
        <v>0.04</v>
      </c>
      <c r="C7" s="11" t="n">
        <f aca="false">B7</f>
        <v>0.04</v>
      </c>
      <c r="D7" s="0" t="s">
        <v>38</v>
      </c>
      <c r="E7" s="0" t="s">
        <v>41</v>
      </c>
    </row>
    <row r="8" customFormat="false" ht="15" hidden="false" customHeight="false" outlineLevel="0" collapsed="false">
      <c r="A8" s="0" t="s">
        <v>42</v>
      </c>
      <c r="B8" s="10" t="n">
        <v>0.03</v>
      </c>
      <c r="C8" s="11" t="n">
        <f aca="false">B8</f>
        <v>0.03</v>
      </c>
      <c r="D8" s="0" t="s">
        <v>38</v>
      </c>
      <c r="E8" s="0" t="s">
        <v>43</v>
      </c>
    </row>
    <row r="9" customFormat="false" ht="15" hidden="false" customHeight="false" outlineLevel="0" collapsed="false">
      <c r="A9" s="0" t="s">
        <v>44</v>
      </c>
      <c r="B9" s="10" t="n">
        <v>0.3</v>
      </c>
      <c r="C9" s="11" t="n">
        <f aca="false">B9</f>
        <v>0.3</v>
      </c>
      <c r="D9" s="0" t="s">
        <v>38</v>
      </c>
      <c r="E9" s="0" t="s">
        <v>45</v>
      </c>
    </row>
    <row r="10" customFormat="false" ht="15" hidden="false" customHeight="false" outlineLevel="0" collapsed="false">
      <c r="A10" s="0" t="s">
        <v>46</v>
      </c>
      <c r="B10" s="10" t="n">
        <v>0.85</v>
      </c>
      <c r="C10" s="11" t="n">
        <f aca="false">B10</f>
        <v>0.85</v>
      </c>
      <c r="D10" s="0" t="s">
        <v>38</v>
      </c>
      <c r="E10" s="0" t="s">
        <v>47</v>
      </c>
    </row>
    <row r="11" customFormat="false" ht="15" hidden="false" customHeight="false" outlineLevel="0" collapsed="false">
      <c r="A11" s="0" t="s">
        <v>48</v>
      </c>
      <c r="B11" s="10" t="n">
        <v>0.06</v>
      </c>
      <c r="C11" s="11" t="n">
        <f aca="false">B11</f>
        <v>0.06</v>
      </c>
      <c r="D11" s="0" t="s">
        <v>38</v>
      </c>
      <c r="E11" s="0" t="s">
        <v>49</v>
      </c>
    </row>
    <row r="12" customFormat="false" ht="15" hidden="false" customHeight="false" outlineLevel="0" collapsed="false">
      <c r="A12" s="0" t="s">
        <v>50</v>
      </c>
      <c r="B12" s="10" t="n">
        <v>0.04</v>
      </c>
      <c r="C12" s="11" t="n">
        <f aca="false">B12</f>
        <v>0.04</v>
      </c>
      <c r="D12" s="0" t="s">
        <v>38</v>
      </c>
      <c r="E12" s="0" t="s">
        <v>51</v>
      </c>
    </row>
    <row r="13" customFormat="false" ht="15" hidden="false" customHeight="false" outlineLevel="0" collapsed="false">
      <c r="A13" s="0" t="s">
        <v>52</v>
      </c>
      <c r="B13" s="10" t="n">
        <v>0.09</v>
      </c>
      <c r="C13" s="11" t="n">
        <f aca="false">B13</f>
        <v>0.09</v>
      </c>
      <c r="D13" s="0" t="s">
        <v>38</v>
      </c>
      <c r="E13" s="0" t="s">
        <v>53</v>
      </c>
    </row>
    <row r="14" customFormat="false" ht="15" hidden="false" customHeight="false" outlineLevel="0" collapsed="false">
      <c r="A14" s="0" t="s">
        <v>54</v>
      </c>
      <c r="B14" s="12" t="n">
        <v>30</v>
      </c>
      <c r="C14" s="6" t="n">
        <f aca="false">B14</f>
        <v>30</v>
      </c>
      <c r="D14" s="0" t="s">
        <v>55</v>
      </c>
      <c r="E14" s="0" t="s">
        <v>56</v>
      </c>
    </row>
    <row r="15" customFormat="false" ht="15" hidden="false" customHeight="false" outlineLevel="0" collapsed="false">
      <c r="A15" s="0" t="s">
        <v>57</v>
      </c>
      <c r="B15" s="12" t="n">
        <v>45</v>
      </c>
      <c r="C15" s="6" t="n">
        <f aca="false">B15</f>
        <v>45</v>
      </c>
      <c r="D15" s="0" t="s">
        <v>55</v>
      </c>
      <c r="E15" s="0" t="s">
        <v>58</v>
      </c>
    </row>
    <row r="18" customFormat="false" ht="15" hidden="false" customHeight="false" outlineLevel="0" collapsed="false">
      <c r="A18" s="9" t="s">
        <v>59</v>
      </c>
      <c r="B18" s="9"/>
      <c r="C18" s="9"/>
      <c r="D18" s="9"/>
      <c r="E18" s="9"/>
    </row>
    <row r="19" customFormat="false" ht="46.25" hidden="false" customHeight="false" outlineLevel="0" collapsed="false">
      <c r="A19" s="3" t="s">
        <v>60</v>
      </c>
      <c r="B19" s="3" t="s">
        <v>61</v>
      </c>
      <c r="C19" s="3" t="s">
        <v>62</v>
      </c>
      <c r="D19" s="3" t="s">
        <v>36</v>
      </c>
      <c r="E19" s="3" t="s">
        <v>4</v>
      </c>
    </row>
    <row r="20" customFormat="false" ht="15" hidden="false" customHeight="false" outlineLevel="0" collapsed="false">
      <c r="A20" s="0" t="s">
        <v>63</v>
      </c>
      <c r="B20" s="12" t="n">
        <v>7000</v>
      </c>
      <c r="C20" s="0" t="s">
        <v>64</v>
      </c>
      <c r="D20" s="0" t="s">
        <v>65</v>
      </c>
      <c r="E20" s="0" t="s">
        <v>66</v>
      </c>
    </row>
    <row r="21" customFormat="false" ht="15" hidden="false" customHeight="false" outlineLevel="0" collapsed="false">
      <c r="A21" s="0" t="s">
        <v>67</v>
      </c>
      <c r="B21" s="12" t="n">
        <v>4500</v>
      </c>
      <c r="C21" s="0" t="s">
        <v>68</v>
      </c>
      <c r="D21" s="0" t="s">
        <v>65</v>
      </c>
      <c r="E21" s="0" t="s">
        <v>69</v>
      </c>
    </row>
    <row r="22" customFormat="false" ht="15" hidden="false" customHeight="false" outlineLevel="0" collapsed="false">
      <c r="A22" s="0" t="s">
        <v>70</v>
      </c>
      <c r="B22" s="12" t="n">
        <v>3500</v>
      </c>
      <c r="C22" s="0" t="s">
        <v>71</v>
      </c>
      <c r="D22" s="0" t="s">
        <v>65</v>
      </c>
      <c r="E22" s="0" t="s">
        <v>72</v>
      </c>
    </row>
    <row r="23" customFormat="false" ht="15" hidden="false" customHeight="false" outlineLevel="0" collapsed="false">
      <c r="A23" s="0" t="s">
        <v>73</v>
      </c>
      <c r="B23" s="12" t="n">
        <v>850</v>
      </c>
      <c r="C23" s="0" t="s">
        <v>74</v>
      </c>
      <c r="D23" s="0" t="s">
        <v>65</v>
      </c>
      <c r="E23" s="0" t="s">
        <v>75</v>
      </c>
    </row>
    <row r="26" customFormat="false" ht="15" hidden="false" customHeight="false" outlineLevel="0" collapsed="false">
      <c r="A26" s="9" t="s">
        <v>76</v>
      </c>
      <c r="B26" s="9"/>
      <c r="C26" s="9"/>
      <c r="D26" s="9"/>
      <c r="E26" s="9"/>
      <c r="F26" s="9"/>
      <c r="G26" s="9"/>
      <c r="H26" s="9"/>
      <c r="I26" s="9"/>
      <c r="J26" s="9"/>
      <c r="K26" s="9"/>
      <c r="L26" s="9"/>
      <c r="M26" s="9"/>
      <c r="N26" s="9"/>
    </row>
    <row r="27" customFormat="false" ht="16.4" hidden="false" customHeight="false" outlineLevel="0" collapsed="false">
      <c r="A27" s="3" t="s">
        <v>77</v>
      </c>
      <c r="B27" s="3" t="s">
        <v>78</v>
      </c>
      <c r="C27" s="3" t="s">
        <v>79</v>
      </c>
      <c r="D27" s="3" t="s">
        <v>80</v>
      </c>
      <c r="E27" s="3" t="s">
        <v>81</v>
      </c>
      <c r="F27" s="3" t="s">
        <v>82</v>
      </c>
      <c r="G27" s="3" t="s">
        <v>83</v>
      </c>
      <c r="H27" s="3" t="s">
        <v>84</v>
      </c>
      <c r="I27" s="3" t="s">
        <v>85</v>
      </c>
      <c r="J27" s="3" t="s">
        <v>86</v>
      </c>
      <c r="K27" s="3" t="s">
        <v>87</v>
      </c>
      <c r="L27" s="3" t="s">
        <v>88</v>
      </c>
      <c r="M27" s="3" t="s">
        <v>89</v>
      </c>
    </row>
    <row r="28" customFormat="false" ht="15" hidden="false" customHeight="false" outlineLevel="0" collapsed="false">
      <c r="A28" s="0" t="s">
        <v>90</v>
      </c>
      <c r="B28" s="10" t="n">
        <v>0.06</v>
      </c>
      <c r="C28" s="10" t="n">
        <v>0.07</v>
      </c>
      <c r="D28" s="10" t="n">
        <v>0.08</v>
      </c>
      <c r="E28" s="10" t="n">
        <v>0.08</v>
      </c>
      <c r="F28" s="10" t="n">
        <v>0.09</v>
      </c>
      <c r="G28" s="10" t="n">
        <v>0.09</v>
      </c>
      <c r="H28" s="10" t="n">
        <v>0.1</v>
      </c>
      <c r="I28" s="10" t="n">
        <v>0.1</v>
      </c>
      <c r="J28" s="10" t="n">
        <v>0.09</v>
      </c>
      <c r="K28" s="10" t="n">
        <v>0.09</v>
      </c>
      <c r="L28" s="10" t="n">
        <v>0.08</v>
      </c>
      <c r="M28" s="10" t="n">
        <v>0.07</v>
      </c>
    </row>
    <row r="29" customFormat="false" ht="15" hidden="false" customHeight="false" outlineLevel="0" collapsed="false">
      <c r="A29" s="0" t="s">
        <v>91</v>
      </c>
      <c r="B29" s="10" t="n">
        <v>0.07</v>
      </c>
      <c r="C29" s="10" t="n">
        <v>0.07</v>
      </c>
      <c r="D29" s="10" t="n">
        <v>0.08</v>
      </c>
      <c r="E29" s="10" t="n">
        <v>0.08</v>
      </c>
      <c r="F29" s="10" t="n">
        <v>0.09</v>
      </c>
      <c r="G29" s="10" t="n">
        <v>0.09</v>
      </c>
      <c r="H29" s="10" t="n">
        <v>0.09</v>
      </c>
      <c r="I29" s="10" t="n">
        <v>0.1</v>
      </c>
      <c r="J29" s="10" t="n">
        <v>0.1</v>
      </c>
      <c r="K29" s="10" t="n">
        <v>0.09</v>
      </c>
      <c r="L29" s="10" t="n">
        <v>0.08</v>
      </c>
      <c r="M29" s="10" t="n">
        <v>0.06</v>
      </c>
    </row>
    <row r="30" customFormat="false" ht="15" hidden="false" customHeight="false" outlineLevel="0" collapsed="false">
      <c r="A30" s="0" t="s">
        <v>92</v>
      </c>
      <c r="B30" s="10" t="n">
        <v>0.07</v>
      </c>
      <c r="C30" s="10" t="n">
        <v>0.07</v>
      </c>
      <c r="D30" s="10" t="n">
        <v>0.08</v>
      </c>
      <c r="E30" s="10" t="n">
        <v>0.08</v>
      </c>
      <c r="F30" s="10" t="n">
        <v>0.09</v>
      </c>
      <c r="G30" s="10" t="n">
        <v>0.09</v>
      </c>
      <c r="H30" s="10" t="n">
        <v>0.1</v>
      </c>
      <c r="I30" s="10" t="n">
        <v>0.1</v>
      </c>
      <c r="J30" s="10" t="n">
        <v>0.09</v>
      </c>
      <c r="K30" s="10" t="n">
        <v>0.08</v>
      </c>
      <c r="L30" s="10" t="n">
        <v>0.08</v>
      </c>
      <c r="M30" s="10" t="n">
        <v>0.07</v>
      </c>
    </row>
    <row r="33" customFormat="false" ht="15" hidden="false" customHeight="false" outlineLevel="0" collapsed="false">
      <c r="A33" s="9" t="s">
        <v>93</v>
      </c>
      <c r="B33" s="9"/>
      <c r="C33" s="9"/>
      <c r="D33" s="9"/>
      <c r="E33" s="9"/>
      <c r="F33" s="9"/>
      <c r="G33" s="9"/>
      <c r="H33" s="9"/>
      <c r="I33" s="9"/>
    </row>
    <row r="34" customFormat="false" ht="31.3" hidden="false" customHeight="false" outlineLevel="0" collapsed="false">
      <c r="A34" s="3" t="s">
        <v>94</v>
      </c>
      <c r="B34" s="3" t="s">
        <v>95</v>
      </c>
      <c r="C34" s="3" t="s">
        <v>96</v>
      </c>
      <c r="D34" s="3" t="s">
        <v>97</v>
      </c>
      <c r="E34" s="3" t="s">
        <v>98</v>
      </c>
      <c r="F34" s="3" t="s">
        <v>99</v>
      </c>
      <c r="G34" s="3" t="s">
        <v>100</v>
      </c>
      <c r="H34" s="3" t="s">
        <v>101</v>
      </c>
      <c r="I34" s="3" t="s">
        <v>102</v>
      </c>
    </row>
    <row r="35" customFormat="false" ht="15" hidden="false" customHeight="false" outlineLevel="0" collapsed="false">
      <c r="A35" s="0" t="s">
        <v>103</v>
      </c>
      <c r="B35" s="0" t="s">
        <v>104</v>
      </c>
      <c r="C35" s="12" t="n">
        <v>95</v>
      </c>
      <c r="D35" s="12" t="n">
        <v>6200</v>
      </c>
      <c r="E35" s="10" t="n">
        <v>0.7</v>
      </c>
      <c r="F35" s="12" t="n">
        <v>325000</v>
      </c>
      <c r="G35" s="10" t="n">
        <v>0.071</v>
      </c>
      <c r="H35" s="12" t="n">
        <v>180000</v>
      </c>
      <c r="I35" s="6" t="n">
        <f aca="false">C35*D35</f>
        <v>589000</v>
      </c>
    </row>
    <row r="36" customFormat="false" ht="15" hidden="false" customHeight="false" outlineLevel="0" collapsed="false">
      <c r="A36" s="0" t="s">
        <v>105</v>
      </c>
      <c r="B36" s="0" t="s">
        <v>106</v>
      </c>
      <c r="C36" s="12" t="n">
        <v>18</v>
      </c>
      <c r="D36" s="12" t="n">
        <v>22000</v>
      </c>
      <c r="E36" s="10" t="n">
        <v>0.5</v>
      </c>
      <c r="F36" s="12" t="n">
        <v>228000</v>
      </c>
      <c r="G36" s="10" t="n">
        <v>0.068</v>
      </c>
      <c r="H36" s="12" t="n">
        <v>140000</v>
      </c>
      <c r="I36" s="6" t="n">
        <f aca="false">C36*D36</f>
        <v>396000</v>
      </c>
    </row>
    <row r="37" customFormat="false" ht="15" hidden="false" customHeight="false" outlineLevel="0" collapsed="false">
      <c r="A37" s="0" t="s">
        <v>107</v>
      </c>
      <c r="B37" s="0" t="s">
        <v>108</v>
      </c>
      <c r="C37" s="12" t="n">
        <v>75</v>
      </c>
      <c r="D37" s="12" t="n">
        <v>4950</v>
      </c>
      <c r="E37" s="10" t="n">
        <v>0.8</v>
      </c>
      <c r="F37" s="12" t="n">
        <v>246000</v>
      </c>
      <c r="G37" s="10" t="n">
        <v>0.0695</v>
      </c>
      <c r="H37" s="12" t="n">
        <v>125000</v>
      </c>
      <c r="I37" s="6" t="n">
        <f aca="false">C37*D37</f>
        <v>371250</v>
      </c>
    </row>
    <row r="38" customFormat="false" ht="15" hidden="false" customHeight="false" outlineLevel="0" collapsed="false">
      <c r="A38" s="0" t="s">
        <v>109</v>
      </c>
      <c r="B38" s="0" t="s">
        <v>110</v>
      </c>
      <c r="C38" s="12" t="n">
        <v>52</v>
      </c>
      <c r="D38" s="12" t="n">
        <v>8700</v>
      </c>
      <c r="E38" s="10" t="n">
        <v>0.6</v>
      </c>
      <c r="F38" s="12" t="n">
        <v>318000</v>
      </c>
      <c r="G38" s="10" t="n">
        <v>0.0735</v>
      </c>
      <c r="H38" s="12" t="n">
        <v>165000</v>
      </c>
      <c r="I38" s="6" t="n">
        <f aca="false">C38*D38</f>
        <v>452400</v>
      </c>
    </row>
  </sheetData>
  <mergeCells count="6">
    <mergeCell ref="A1:P1"/>
    <mergeCell ref="A2:P2"/>
    <mergeCell ref="A4:E4"/>
    <mergeCell ref="A18:E18"/>
    <mergeCell ref="A26:N26"/>
    <mergeCell ref="A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14" min="2" style="0" width="12"/>
  </cols>
  <sheetData>
    <row r="1" customFormat="false" ht="18.55" hidden="false" customHeight="false" outlineLevel="0" collapsed="false">
      <c r="A1" s="1" t="s">
        <v>111</v>
      </c>
      <c r="B1" s="1"/>
      <c r="C1" s="1"/>
      <c r="D1" s="1"/>
      <c r="E1" s="1"/>
      <c r="F1" s="1"/>
      <c r="G1" s="1"/>
      <c r="H1" s="1"/>
      <c r="I1" s="1"/>
      <c r="J1" s="1"/>
      <c r="K1" s="1"/>
      <c r="L1" s="1"/>
      <c r="M1" s="1"/>
      <c r="N1" s="1"/>
    </row>
    <row r="2" customFormat="false" ht="15" hidden="false" customHeight="false" outlineLevel="0" collapsed="false">
      <c r="A2" s="2" t="s">
        <v>112</v>
      </c>
      <c r="B2" s="2"/>
      <c r="C2" s="2"/>
      <c r="D2" s="2"/>
      <c r="E2" s="2"/>
      <c r="F2" s="2"/>
      <c r="G2" s="2"/>
      <c r="H2" s="2"/>
      <c r="I2" s="2"/>
      <c r="J2" s="2"/>
      <c r="K2" s="2"/>
      <c r="L2" s="2"/>
      <c r="M2" s="2"/>
      <c r="N2" s="2"/>
    </row>
    <row r="4" customFormat="false" ht="16.4" hidden="false" customHeight="false" outlineLevel="0" collapsed="false">
      <c r="A4" s="3" t="s">
        <v>60</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0" t="s">
        <v>114</v>
      </c>
      <c r="B5" s="8" t="n">
        <f aca="false">99_Helper!B41</f>
        <v>73553.376</v>
      </c>
      <c r="C5" s="8" t="n">
        <f aca="false">99_Helper!C41</f>
        <v>85812.272</v>
      </c>
      <c r="D5" s="8" t="n">
        <f aca="false">99_Helper!D41</f>
        <v>98071.168</v>
      </c>
      <c r="E5" s="8" t="n">
        <f aca="false">99_Helper!E41</f>
        <v>98071.168</v>
      </c>
      <c r="F5" s="8" t="n">
        <f aca="false">99_Helper!F41</f>
        <v>110330.064</v>
      </c>
      <c r="G5" s="8" t="n">
        <f aca="false">99_Helper!G41</f>
        <v>110330.064</v>
      </c>
      <c r="H5" s="8" t="n">
        <f aca="false">99_Helper!H41</f>
        <v>122588.96</v>
      </c>
      <c r="I5" s="8" t="n">
        <f aca="false">99_Helper!I41</f>
        <v>122588.96</v>
      </c>
      <c r="J5" s="8" t="n">
        <f aca="false">99_Helper!J41</f>
        <v>110330.064</v>
      </c>
      <c r="K5" s="8" t="n">
        <f aca="false">99_Helper!K41</f>
        <v>110330.064</v>
      </c>
      <c r="L5" s="8" t="n">
        <f aca="false">99_Helper!L41</f>
        <v>98071.168</v>
      </c>
      <c r="M5" s="8" t="n">
        <f aca="false">99_Helper!M41</f>
        <v>85812.272</v>
      </c>
      <c r="N5" s="13" t="n">
        <f aca="false">SUM(B5:M5)</f>
        <v>1225889.6</v>
      </c>
    </row>
    <row r="6" customFormat="false" ht="15" hidden="false" customHeight="false" outlineLevel="0" collapsed="false">
      <c r="A6" s="0" t="s">
        <v>115</v>
      </c>
      <c r="B6" s="8" t="n">
        <f aca="false">99_Helper!B42</f>
        <v>39306.384</v>
      </c>
      <c r="C6" s="8" t="n">
        <f aca="false">99_Helper!C42</f>
        <v>45857.448</v>
      </c>
      <c r="D6" s="8" t="n">
        <f aca="false">99_Helper!D42</f>
        <v>52408.512</v>
      </c>
      <c r="E6" s="8" t="n">
        <f aca="false">99_Helper!E42</f>
        <v>52408.512</v>
      </c>
      <c r="F6" s="8" t="n">
        <f aca="false">99_Helper!F42</f>
        <v>58959.576</v>
      </c>
      <c r="G6" s="8" t="n">
        <f aca="false">99_Helper!G42</f>
        <v>58959.576</v>
      </c>
      <c r="H6" s="8" t="n">
        <f aca="false">99_Helper!H42</f>
        <v>65510.64</v>
      </c>
      <c r="I6" s="8" t="n">
        <f aca="false">99_Helper!I42</f>
        <v>65510.64</v>
      </c>
      <c r="J6" s="8" t="n">
        <f aca="false">99_Helper!J42</f>
        <v>58959.576</v>
      </c>
      <c r="K6" s="8" t="n">
        <f aca="false">99_Helper!K42</f>
        <v>58959.576</v>
      </c>
      <c r="L6" s="8" t="n">
        <f aca="false">99_Helper!L42</f>
        <v>52408.512</v>
      </c>
      <c r="M6" s="8" t="n">
        <f aca="false">99_Helper!M42</f>
        <v>45857.448</v>
      </c>
      <c r="N6" s="13" t="n">
        <f aca="false">SUM(B6:M6)</f>
        <v>655106.4</v>
      </c>
    </row>
    <row r="7" customFormat="false" ht="15" hidden="false" customHeight="false" outlineLevel="0" collapsed="false">
      <c r="A7" s="0" t="s">
        <v>63</v>
      </c>
      <c r="B7" s="13" t="n">
        <f aca="false">'02 Budget Assumptions'!$B$20*(1+'02 Budget Assumptions'!$C$12/12)^0</f>
        <v>7000</v>
      </c>
      <c r="C7" s="13" t="n">
        <f aca="false">'02 Budget Assumptions'!$B$20*(1+'02 Budget Assumptions'!$C$12/12)^1</f>
        <v>7023.33333333333</v>
      </c>
      <c r="D7" s="13" t="n">
        <f aca="false">'02 Budget Assumptions'!$B$20*(1+'02 Budget Assumptions'!$C$12/12)^2</f>
        <v>7046.74444444445</v>
      </c>
      <c r="E7" s="13" t="n">
        <f aca="false">'02 Budget Assumptions'!$B$20*(1+'02 Budget Assumptions'!$C$12/12)^3</f>
        <v>7070.23359259259</v>
      </c>
      <c r="F7" s="13" t="n">
        <f aca="false">'02 Budget Assumptions'!$B$20*(1+'02 Budget Assumptions'!$C$12/12)^4</f>
        <v>7093.80103790124</v>
      </c>
      <c r="G7" s="13" t="n">
        <f aca="false">'02 Budget Assumptions'!$B$20*(1+'02 Budget Assumptions'!$C$12/12)^5</f>
        <v>7117.44704136091</v>
      </c>
      <c r="H7" s="13" t="n">
        <f aca="false">'02 Budget Assumptions'!$B$20*(1+'02 Budget Assumptions'!$C$12/12)^6</f>
        <v>7141.17186483211</v>
      </c>
      <c r="I7" s="13" t="n">
        <f aca="false">'02 Budget Assumptions'!$B$20*(1+'02 Budget Assumptions'!$C$12/12)^7</f>
        <v>7164.97577104822</v>
      </c>
      <c r="J7" s="13" t="n">
        <f aca="false">'02 Budget Assumptions'!$B$20*(1+'02 Budget Assumptions'!$C$12/12)^8</f>
        <v>7188.85902361838</v>
      </c>
      <c r="K7" s="13" t="n">
        <f aca="false">'02 Budget Assumptions'!$B$20*(1+'02 Budget Assumptions'!$C$12/12)^9</f>
        <v>7212.82188703044</v>
      </c>
      <c r="L7" s="13" t="n">
        <f aca="false">'02 Budget Assumptions'!$B$20*(1+'02 Budget Assumptions'!$C$12/12)^10</f>
        <v>7236.86462665388</v>
      </c>
      <c r="M7" s="13" t="n">
        <f aca="false">'02 Budget Assumptions'!$B$20*(1+'02 Budget Assumptions'!$C$12/12)^11</f>
        <v>7260.98750874273</v>
      </c>
      <c r="N7" s="13" t="n">
        <f aca="false">SUM(B7:M7)</f>
        <v>85557.2401315583</v>
      </c>
    </row>
    <row r="8" customFormat="false" ht="15" hidden="false" customHeight="false" outlineLevel="0" collapsed="false">
      <c r="A8" s="0" t="s">
        <v>67</v>
      </c>
      <c r="B8" s="13" t="n">
        <f aca="false">'02 Budget Assumptions'!$B$21*(1+'02 Budget Assumptions'!$C$7/12)^(0)</f>
        <v>4500</v>
      </c>
      <c r="C8" s="13" t="n">
        <f aca="false">'02 Budget Assumptions'!$B$21*(1+'02 Budget Assumptions'!$C$7/12)^(1)</f>
        <v>4515</v>
      </c>
      <c r="D8" s="13" t="n">
        <f aca="false">'02 Budget Assumptions'!$B$21*(1+'02 Budget Assumptions'!$C$7/12)^(2)</f>
        <v>4530.05</v>
      </c>
      <c r="E8" s="13" t="n">
        <f aca="false">'02 Budget Assumptions'!$B$21*(1+'02 Budget Assumptions'!$C$7/12)^(3)</f>
        <v>4545.15016666667</v>
      </c>
      <c r="F8" s="13" t="n">
        <f aca="false">'02 Budget Assumptions'!$B$21*(1+'02 Budget Assumptions'!$C$7/12)^(4)</f>
        <v>4560.30066722222</v>
      </c>
      <c r="G8" s="13" t="n">
        <f aca="false">'02 Budget Assumptions'!$B$21*(1+'02 Budget Assumptions'!$C$7/12)^(5)</f>
        <v>4575.5016694463</v>
      </c>
      <c r="H8" s="13" t="n">
        <f aca="false">'02 Budget Assumptions'!$B$21*(1+'02 Budget Assumptions'!$C$7/12)^(6)</f>
        <v>4590.75334167779</v>
      </c>
      <c r="I8" s="13" t="n">
        <f aca="false">'02 Budget Assumptions'!$B$21*(1+'02 Budget Assumptions'!$C$7/12)^(7)</f>
        <v>4606.05585281671</v>
      </c>
      <c r="J8" s="13" t="n">
        <f aca="false">'02 Budget Assumptions'!$B$21*(1+'02 Budget Assumptions'!$C$7/12)^(8)</f>
        <v>4621.4093723261</v>
      </c>
      <c r="K8" s="13" t="n">
        <f aca="false">'02 Budget Assumptions'!$B$21*(1+'02 Budget Assumptions'!$C$7/12)^(9)</f>
        <v>4636.81407023386</v>
      </c>
      <c r="L8" s="13" t="n">
        <f aca="false">'02 Budget Assumptions'!$B$21*(1+'02 Budget Assumptions'!$C$7/12)^(10)</f>
        <v>4652.27011713464</v>
      </c>
      <c r="M8" s="13" t="n">
        <f aca="false">'02 Budget Assumptions'!$B$21*(1+'02 Budget Assumptions'!$C$7/12)^(11)</f>
        <v>4667.77768419175</v>
      </c>
      <c r="N8" s="13" t="n">
        <f aca="false">SUM(B8:M8)</f>
        <v>55001.082941716</v>
      </c>
    </row>
    <row r="9" customFormat="false" ht="15" hidden="false" customHeight="false" outlineLevel="0" collapsed="false">
      <c r="A9" s="0" t="s">
        <v>70</v>
      </c>
      <c r="B9" s="13" t="n">
        <f aca="false">'02 Budget Assumptions'!$B$22</f>
        <v>3500</v>
      </c>
      <c r="C9" s="13" t="n">
        <f aca="false">'02 Budget Assumptions'!$B$22</f>
        <v>3500</v>
      </c>
      <c r="D9" s="13" t="n">
        <f aca="false">'02 Budget Assumptions'!$B$22</f>
        <v>3500</v>
      </c>
      <c r="E9" s="13" t="n">
        <f aca="false">'02 Budget Assumptions'!$B$22</f>
        <v>3500</v>
      </c>
      <c r="F9" s="13" t="n">
        <f aca="false">'02 Budget Assumptions'!$B$22</f>
        <v>3500</v>
      </c>
      <c r="G9" s="13" t="n">
        <f aca="false">'02 Budget Assumptions'!$B$22</f>
        <v>3500</v>
      </c>
      <c r="H9" s="13" t="n">
        <f aca="false">'02 Budget Assumptions'!$B$22</f>
        <v>3500</v>
      </c>
      <c r="I9" s="13" t="n">
        <f aca="false">'02 Budget Assumptions'!$B$22</f>
        <v>3500</v>
      </c>
      <c r="J9" s="13" t="n">
        <f aca="false">'02 Budget Assumptions'!$B$22</f>
        <v>3500</v>
      </c>
      <c r="K9" s="13" t="n">
        <f aca="false">'02 Budget Assumptions'!$B$22</f>
        <v>3500</v>
      </c>
      <c r="L9" s="13" t="n">
        <f aca="false">'02 Budget Assumptions'!$B$22</f>
        <v>3500</v>
      </c>
      <c r="M9" s="13" t="n">
        <f aca="false">'02 Budget Assumptions'!$B$22</f>
        <v>3500</v>
      </c>
      <c r="N9" s="13" t="n">
        <f aca="false">SUM(B9:M9)</f>
        <v>42000</v>
      </c>
    </row>
    <row r="10" customFormat="false" ht="15" hidden="false" customHeight="false" outlineLevel="0" collapsed="false">
      <c r="A10" s="0" t="s">
        <v>73</v>
      </c>
      <c r="B10" s="13" t="n">
        <f aca="false">'02 Budget Assumptions'!$B$23</f>
        <v>850</v>
      </c>
      <c r="C10" s="13" t="n">
        <f aca="false">'02 Budget Assumptions'!$B$23</f>
        <v>850</v>
      </c>
      <c r="D10" s="13" t="n">
        <f aca="false">'02 Budget Assumptions'!$B$23</f>
        <v>850</v>
      </c>
      <c r="E10" s="13" t="n">
        <f aca="false">'02 Budget Assumptions'!$B$23</f>
        <v>850</v>
      </c>
      <c r="F10" s="13" t="n">
        <f aca="false">'02 Budget Assumptions'!$B$23</f>
        <v>850</v>
      </c>
      <c r="G10" s="13" t="n">
        <f aca="false">'02 Budget Assumptions'!$B$23</f>
        <v>850</v>
      </c>
      <c r="H10" s="13" t="n">
        <f aca="false">'02 Budget Assumptions'!$B$23</f>
        <v>850</v>
      </c>
      <c r="I10" s="13" t="n">
        <f aca="false">'02 Budget Assumptions'!$B$23</f>
        <v>850</v>
      </c>
      <c r="J10" s="13" t="n">
        <f aca="false">'02 Budget Assumptions'!$B$23</f>
        <v>850</v>
      </c>
      <c r="K10" s="13" t="n">
        <f aca="false">'02 Budget Assumptions'!$B$23</f>
        <v>850</v>
      </c>
      <c r="L10" s="13" t="n">
        <f aca="false">'02 Budget Assumptions'!$B$23</f>
        <v>850</v>
      </c>
      <c r="M10" s="13" t="n">
        <f aca="false">'02 Budget Assumptions'!$B$23</f>
        <v>850</v>
      </c>
      <c r="N10" s="13" t="n">
        <f aca="false">SUM(B10:M10)</f>
        <v>10200</v>
      </c>
    </row>
    <row r="11" customFormat="false" ht="15" hidden="false" customHeight="false" outlineLevel="0" collapsed="false">
      <c r="A11" s="0" t="s">
        <v>116</v>
      </c>
      <c r="B11" s="14" t="n">
        <f aca="false">SUM(B5:B10)</f>
        <v>128709.76</v>
      </c>
      <c r="C11" s="14" t="n">
        <f aca="false">SUM(C5:C10)</f>
        <v>147558.053333333</v>
      </c>
      <c r="D11" s="14" t="n">
        <f aca="false">SUM(D5:D10)</f>
        <v>166406.474444444</v>
      </c>
      <c r="E11" s="14" t="n">
        <f aca="false">SUM(E5:E10)</f>
        <v>166445.063759259</v>
      </c>
      <c r="F11" s="14" t="n">
        <f aca="false">SUM(F5:F10)</f>
        <v>185293.741705123</v>
      </c>
      <c r="G11" s="14" t="n">
        <f aca="false">SUM(G5:G10)</f>
        <v>185332.588710807</v>
      </c>
      <c r="H11" s="14" t="n">
        <f aca="false">SUM(H5:H10)</f>
        <v>204181.52520651</v>
      </c>
      <c r="I11" s="14" t="n">
        <f aca="false">SUM(I5:I10)</f>
        <v>204220.631623865</v>
      </c>
      <c r="J11" s="14" t="n">
        <f aca="false">SUM(J5:J10)</f>
        <v>185449.908395944</v>
      </c>
      <c r="K11" s="14" t="n">
        <f aca="false">SUM(K5:K10)</f>
        <v>185489.275957264</v>
      </c>
      <c r="L11" s="14" t="n">
        <f aca="false">SUM(L5:L10)</f>
        <v>166718.814743789</v>
      </c>
      <c r="M11" s="14" t="n">
        <f aca="false">SUM(M5:M10)</f>
        <v>147948.485192935</v>
      </c>
      <c r="N11" s="15" t="n">
        <f aca="false">SUM(B11:M11)</f>
        <v>2073754.32307327</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2"/>
    <col collapsed="false" customWidth="true" hidden="false" outlineLevel="0" max="6" min="4" style="0" width="16"/>
    <col collapsed="false" customWidth="true" hidden="false" outlineLevel="0" max="7" min="7" style="0" width="18"/>
    <col collapsed="false" customWidth="true" hidden="false" outlineLevel="0" max="8" min="8" style="0" width="16"/>
    <col collapsed="false" customWidth="true" hidden="false" outlineLevel="0" max="9" min="9" style="0" width="12"/>
    <col collapsed="false" customWidth="true" hidden="false" outlineLevel="0" max="21" min="10" style="0" width="10"/>
  </cols>
  <sheetData>
    <row r="1" customFormat="false" ht="18.55" hidden="false" customHeight="false" outlineLevel="0" collapsed="false">
      <c r="A1" s="1" t="s">
        <v>117</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118</v>
      </c>
      <c r="B2" s="2"/>
      <c r="C2" s="2"/>
      <c r="D2" s="2"/>
      <c r="E2" s="2"/>
      <c r="F2" s="2"/>
      <c r="G2" s="2"/>
      <c r="H2" s="2"/>
      <c r="I2" s="2"/>
      <c r="J2" s="2"/>
      <c r="K2" s="2"/>
      <c r="L2" s="2"/>
      <c r="M2" s="2"/>
      <c r="N2" s="2"/>
      <c r="O2" s="2"/>
      <c r="P2" s="2"/>
      <c r="Q2" s="2"/>
      <c r="R2" s="2"/>
      <c r="S2" s="2"/>
      <c r="T2" s="2"/>
    </row>
    <row r="4" customFormat="false" ht="46.25" hidden="false" customHeight="false" outlineLevel="0" collapsed="false">
      <c r="A4" s="3" t="s">
        <v>94</v>
      </c>
      <c r="B4" s="3" t="s">
        <v>95</v>
      </c>
      <c r="C4" s="3" t="s">
        <v>119</v>
      </c>
      <c r="D4" s="3" t="s">
        <v>120</v>
      </c>
      <c r="E4" s="3" t="s">
        <v>121</v>
      </c>
      <c r="F4" s="3" t="s">
        <v>122</v>
      </c>
      <c r="G4" s="3" t="s">
        <v>123</v>
      </c>
      <c r="H4" s="3" t="s">
        <v>124</v>
      </c>
      <c r="I4" s="3" t="s">
        <v>125</v>
      </c>
      <c r="J4" s="3" t="s">
        <v>126</v>
      </c>
      <c r="K4" s="3" t="s">
        <v>127</v>
      </c>
      <c r="L4" s="3" t="s">
        <v>128</v>
      </c>
      <c r="M4" s="3" t="s">
        <v>129</v>
      </c>
      <c r="N4" s="3" t="s">
        <v>130</v>
      </c>
      <c r="O4" s="3" t="s">
        <v>131</v>
      </c>
      <c r="P4" s="3" t="s">
        <v>132</v>
      </c>
      <c r="Q4" s="3" t="s">
        <v>133</v>
      </c>
      <c r="R4" s="3" t="s">
        <v>134</v>
      </c>
      <c r="S4" s="3" t="s">
        <v>135</v>
      </c>
      <c r="T4" s="3" t="s">
        <v>136</v>
      </c>
      <c r="U4" s="3" t="s">
        <v>137</v>
      </c>
    </row>
    <row r="5" customFormat="false" ht="15" hidden="false" customHeight="false" outlineLevel="0" collapsed="false">
      <c r="A5" s="0" t="s">
        <v>103</v>
      </c>
      <c r="B5" s="0" t="s">
        <v>104</v>
      </c>
      <c r="C5" s="8" t="n">
        <f aca="false">'02 Budget Assumptions'!C35</f>
        <v>95</v>
      </c>
      <c r="D5" s="8" t="n">
        <f aca="false">'02 Budget Assumptions'!D35</f>
        <v>6200</v>
      </c>
      <c r="E5" s="8" t="n">
        <f aca="false">'02 Budget Assumptions'!I35</f>
        <v>589000</v>
      </c>
      <c r="F5" s="8" t="n">
        <f aca="false">SUM(99_Helper!B6:M6)</f>
        <v>612560</v>
      </c>
      <c r="G5" s="8" t="n">
        <f aca="false">'02 Budget Assumptions'!F35</f>
        <v>325000</v>
      </c>
      <c r="H5" s="13" t="n">
        <f aca="false">F5-G5</f>
        <v>287560</v>
      </c>
      <c r="I5" s="16" t="n">
        <f aca="false">IFERROR(H5/F5,0)</f>
        <v>0.469439728353141</v>
      </c>
      <c r="J5" s="8" t="n">
        <f aca="false">99_Helper!B5</f>
        <v>5.7</v>
      </c>
      <c r="K5" s="8" t="n">
        <f aca="false">99_Helper!C5</f>
        <v>6.65</v>
      </c>
      <c r="L5" s="8" t="n">
        <f aca="false">99_Helper!D5</f>
        <v>7.6</v>
      </c>
      <c r="M5" s="8" t="n">
        <f aca="false">99_Helper!E5</f>
        <v>7.6</v>
      </c>
      <c r="N5" s="8" t="n">
        <f aca="false">99_Helper!F5</f>
        <v>8.55</v>
      </c>
      <c r="O5" s="8" t="n">
        <f aca="false">99_Helper!G5</f>
        <v>8.55</v>
      </c>
      <c r="P5" s="8" t="n">
        <f aca="false">99_Helper!H5</f>
        <v>9.5</v>
      </c>
      <c r="Q5" s="8" t="n">
        <f aca="false">99_Helper!I5</f>
        <v>9.5</v>
      </c>
      <c r="R5" s="8" t="n">
        <f aca="false">99_Helper!J5</f>
        <v>8.55</v>
      </c>
      <c r="S5" s="8" t="n">
        <f aca="false">99_Helper!K5</f>
        <v>8.55</v>
      </c>
      <c r="T5" s="8" t="n">
        <f aca="false">99_Helper!L5</f>
        <v>7.6</v>
      </c>
      <c r="U5" s="8" t="n">
        <f aca="false">99_Helper!M5</f>
        <v>6.65</v>
      </c>
    </row>
    <row r="6" customFormat="false" ht="15" hidden="false" customHeight="false" outlineLevel="0" collapsed="false">
      <c r="A6" s="0" t="s">
        <v>105</v>
      </c>
      <c r="B6" s="0" t="s">
        <v>106</v>
      </c>
      <c r="C6" s="8" t="n">
        <f aca="false">'02 Budget Assumptions'!C36</f>
        <v>18</v>
      </c>
      <c r="D6" s="8" t="n">
        <f aca="false">'02 Budget Assumptions'!D36</f>
        <v>22000</v>
      </c>
      <c r="E6" s="8" t="n">
        <f aca="false">'02 Budget Assumptions'!I36</f>
        <v>396000</v>
      </c>
      <c r="F6" s="8" t="n">
        <f aca="false">SUM(99_Helper!B15:M15)</f>
        <v>411840</v>
      </c>
      <c r="G6" s="8" t="n">
        <f aca="false">'02 Budget Assumptions'!F36</f>
        <v>228000</v>
      </c>
      <c r="H6" s="13" t="n">
        <f aca="false">F6-G6</f>
        <v>183840</v>
      </c>
      <c r="I6" s="16" t="n">
        <f aca="false">IFERROR(H6/F6,0)</f>
        <v>0.446386946386946</v>
      </c>
      <c r="J6" s="8" t="n">
        <f aca="false">99_Helper!B14</f>
        <v>1.08</v>
      </c>
      <c r="K6" s="8" t="n">
        <f aca="false">99_Helper!C14</f>
        <v>1.26</v>
      </c>
      <c r="L6" s="8" t="n">
        <f aca="false">99_Helper!D14</f>
        <v>1.44</v>
      </c>
      <c r="M6" s="8" t="n">
        <f aca="false">99_Helper!E14</f>
        <v>1.44</v>
      </c>
      <c r="N6" s="8" t="n">
        <f aca="false">99_Helper!F14</f>
        <v>1.62</v>
      </c>
      <c r="O6" s="8" t="n">
        <f aca="false">99_Helper!G14</f>
        <v>1.62</v>
      </c>
      <c r="P6" s="8" t="n">
        <f aca="false">99_Helper!H14</f>
        <v>1.8</v>
      </c>
      <c r="Q6" s="8" t="n">
        <f aca="false">99_Helper!I14</f>
        <v>1.8</v>
      </c>
      <c r="R6" s="8" t="n">
        <f aca="false">99_Helper!J14</f>
        <v>1.62</v>
      </c>
      <c r="S6" s="8" t="n">
        <f aca="false">99_Helper!K14</f>
        <v>1.62</v>
      </c>
      <c r="T6" s="8" t="n">
        <f aca="false">99_Helper!L14</f>
        <v>1.44</v>
      </c>
      <c r="U6" s="8" t="n">
        <f aca="false">99_Helper!M14</f>
        <v>1.26</v>
      </c>
    </row>
    <row r="7" customFormat="false" ht="15" hidden="false" customHeight="false" outlineLevel="0" collapsed="false">
      <c r="A7" s="0" t="s">
        <v>107</v>
      </c>
      <c r="B7" s="0" t="s">
        <v>108</v>
      </c>
      <c r="C7" s="8" t="n">
        <f aca="false">'02 Budget Assumptions'!C37</f>
        <v>75</v>
      </c>
      <c r="D7" s="8" t="n">
        <f aca="false">'02 Budget Assumptions'!D37</f>
        <v>4950</v>
      </c>
      <c r="E7" s="8" t="n">
        <f aca="false">'02 Budget Assumptions'!I37</f>
        <v>371250</v>
      </c>
      <c r="F7" s="8" t="n">
        <f aca="false">SUM(99_Helper!B24:M24)</f>
        <v>386100</v>
      </c>
      <c r="G7" s="8" t="n">
        <f aca="false">'02 Budget Assumptions'!F37</f>
        <v>246000</v>
      </c>
      <c r="H7" s="13" t="n">
        <f aca="false">F7-G7</f>
        <v>140100</v>
      </c>
      <c r="I7" s="16" t="n">
        <f aca="false">IFERROR(H7/F7,0)</f>
        <v>0.362859362859363</v>
      </c>
      <c r="J7" s="8" t="n">
        <f aca="false">99_Helper!B23</f>
        <v>4.5</v>
      </c>
      <c r="K7" s="8" t="n">
        <f aca="false">99_Helper!C23</f>
        <v>5.25</v>
      </c>
      <c r="L7" s="8" t="n">
        <f aca="false">99_Helper!D23</f>
        <v>6</v>
      </c>
      <c r="M7" s="8" t="n">
        <f aca="false">99_Helper!E23</f>
        <v>6</v>
      </c>
      <c r="N7" s="8" t="n">
        <f aca="false">99_Helper!F23</f>
        <v>6.75</v>
      </c>
      <c r="O7" s="8" t="n">
        <f aca="false">99_Helper!G23</f>
        <v>6.75</v>
      </c>
      <c r="P7" s="8" t="n">
        <f aca="false">99_Helper!H23</f>
        <v>7.5</v>
      </c>
      <c r="Q7" s="8" t="n">
        <f aca="false">99_Helper!I23</f>
        <v>7.5</v>
      </c>
      <c r="R7" s="8" t="n">
        <f aca="false">99_Helper!J23</f>
        <v>6.75</v>
      </c>
      <c r="S7" s="8" t="n">
        <f aca="false">99_Helper!K23</f>
        <v>6.75</v>
      </c>
      <c r="T7" s="8" t="n">
        <f aca="false">99_Helper!L23</f>
        <v>6</v>
      </c>
      <c r="U7" s="8" t="n">
        <f aca="false">99_Helper!M23</f>
        <v>5.25</v>
      </c>
    </row>
    <row r="8" customFormat="false" ht="15" hidden="false" customHeight="false" outlineLevel="0" collapsed="false">
      <c r="A8" s="0" t="s">
        <v>109</v>
      </c>
      <c r="B8" s="0" t="s">
        <v>110</v>
      </c>
      <c r="C8" s="8" t="n">
        <f aca="false">'02 Budget Assumptions'!C38</f>
        <v>52</v>
      </c>
      <c r="D8" s="8" t="n">
        <f aca="false">'02 Budget Assumptions'!D38</f>
        <v>8700</v>
      </c>
      <c r="E8" s="8" t="n">
        <f aca="false">'02 Budget Assumptions'!I38</f>
        <v>452400</v>
      </c>
      <c r="F8" s="8" t="n">
        <f aca="false">SUM(99_Helper!B33:M33)</f>
        <v>470496</v>
      </c>
      <c r="G8" s="8" t="n">
        <f aca="false">'02 Budget Assumptions'!F38</f>
        <v>318000</v>
      </c>
      <c r="H8" s="13" t="n">
        <f aca="false">F8-G8</f>
        <v>152496</v>
      </c>
      <c r="I8" s="16" t="n">
        <f aca="false">IFERROR(H8/F8,0)</f>
        <v>0.324117527035299</v>
      </c>
      <c r="J8" s="8" t="n">
        <f aca="false">99_Helper!B32</f>
        <v>3.12</v>
      </c>
      <c r="K8" s="8" t="n">
        <f aca="false">99_Helper!C32</f>
        <v>3.64</v>
      </c>
      <c r="L8" s="8" t="n">
        <f aca="false">99_Helper!D32</f>
        <v>4.16</v>
      </c>
      <c r="M8" s="8" t="n">
        <f aca="false">99_Helper!E32</f>
        <v>4.16</v>
      </c>
      <c r="N8" s="8" t="n">
        <f aca="false">99_Helper!F32</f>
        <v>4.68</v>
      </c>
      <c r="O8" s="8" t="n">
        <f aca="false">99_Helper!G32</f>
        <v>4.68</v>
      </c>
      <c r="P8" s="8" t="n">
        <f aca="false">99_Helper!H32</f>
        <v>5.2</v>
      </c>
      <c r="Q8" s="8" t="n">
        <f aca="false">99_Helper!I32</f>
        <v>5.2</v>
      </c>
      <c r="R8" s="8" t="n">
        <f aca="false">99_Helper!J32</f>
        <v>4.68</v>
      </c>
      <c r="S8" s="8" t="n">
        <f aca="false">99_Helper!K32</f>
        <v>4.68</v>
      </c>
      <c r="T8" s="8" t="n">
        <f aca="false">99_Helper!L32</f>
        <v>4.16</v>
      </c>
      <c r="U8" s="8" t="n">
        <f aca="false">99_Helper!M32</f>
        <v>3.64</v>
      </c>
    </row>
    <row r="9" customFormat="false" ht="15" hidden="false" customHeight="false" outlineLevel="0" collapsed="false">
      <c r="A9" s="17" t="s">
        <v>138</v>
      </c>
      <c r="C9" s="18" t="n">
        <f aca="false">SUM(C5:C8)</f>
        <v>240</v>
      </c>
      <c r="D9" s="18" t="n">
        <f aca="false">SUM(D5:D8)</f>
        <v>41850</v>
      </c>
      <c r="E9" s="18" t="n">
        <f aca="false">SUM(E5:E8)</f>
        <v>1808650</v>
      </c>
      <c r="F9" s="18" t="n">
        <f aca="false">SUM(F5:F8)</f>
        <v>1880996</v>
      </c>
      <c r="G9" s="18" t="n">
        <f aca="false">SUM(G5:G8)</f>
        <v>1117000</v>
      </c>
      <c r="H9" s="18" t="n">
        <f aca="false">SUM(H5:H8)</f>
        <v>763996</v>
      </c>
      <c r="I9" s="16" t="n">
        <f aca="false">SUM(I5:I8)</f>
        <v>1.60280356463475</v>
      </c>
      <c r="J9" s="18" t="n">
        <f aca="false">SUM(J5:J8)</f>
        <v>14.4</v>
      </c>
      <c r="K9" s="18" t="n">
        <f aca="false">SUM(K5:K8)</f>
        <v>16.8</v>
      </c>
      <c r="L9" s="18" t="n">
        <f aca="false">SUM(L5:L8)</f>
        <v>19.2</v>
      </c>
      <c r="M9" s="18" t="n">
        <f aca="false">SUM(M5:M8)</f>
        <v>19.2</v>
      </c>
      <c r="N9" s="18" t="n">
        <f aca="false">SUM(N5:N8)</f>
        <v>21.6</v>
      </c>
      <c r="O9" s="18" t="n">
        <f aca="false">SUM(O5:O8)</f>
        <v>21.6</v>
      </c>
      <c r="P9" s="18" t="n">
        <f aca="false">SUM(P5:P8)</f>
        <v>24</v>
      </c>
      <c r="Q9" s="18" t="n">
        <f aca="false">SUM(Q5:Q8)</f>
        <v>24</v>
      </c>
      <c r="R9" s="18" t="n">
        <f aca="false">SUM(R5:R8)</f>
        <v>21.6</v>
      </c>
      <c r="S9" s="18" t="n">
        <f aca="false">SUM(S5:S8)</f>
        <v>21.6</v>
      </c>
      <c r="T9" s="18" t="n">
        <f aca="false">SUM(T5:T8)</f>
        <v>19.2</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14" min="2" style="0" width="11"/>
  </cols>
  <sheetData>
    <row r="1" customFormat="false" ht="18.55" hidden="false" customHeight="false" outlineLevel="0" collapsed="false">
      <c r="A1" s="1" t="s">
        <v>139</v>
      </c>
      <c r="B1" s="1"/>
      <c r="C1" s="1"/>
      <c r="D1" s="1"/>
      <c r="E1" s="1"/>
      <c r="F1" s="1"/>
      <c r="G1" s="1"/>
      <c r="H1" s="1"/>
      <c r="I1" s="1"/>
      <c r="J1" s="1"/>
      <c r="K1" s="1"/>
      <c r="L1" s="1"/>
      <c r="M1" s="1"/>
      <c r="N1" s="1"/>
      <c r="O1" s="1"/>
    </row>
    <row r="2" customFormat="false" ht="15" hidden="false" customHeight="false" outlineLevel="0" collapsed="false">
      <c r="A2" s="2" t="s">
        <v>140</v>
      </c>
      <c r="B2" s="2"/>
      <c r="C2" s="2"/>
      <c r="D2" s="2"/>
      <c r="E2" s="2"/>
      <c r="F2" s="2"/>
      <c r="G2" s="2"/>
      <c r="H2" s="2"/>
      <c r="I2" s="2"/>
      <c r="J2" s="2"/>
      <c r="K2" s="2"/>
      <c r="L2" s="2"/>
      <c r="M2" s="2"/>
      <c r="N2" s="2"/>
      <c r="O2" s="2"/>
    </row>
    <row r="4" customFormat="false" ht="16.4" hidden="false" customHeight="false" outlineLevel="0" collapsed="false">
      <c r="A4" s="3" t="s">
        <v>141</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5" t="s">
        <v>103</v>
      </c>
      <c r="B5" s="19"/>
      <c r="C5" s="19"/>
      <c r="D5" s="19"/>
      <c r="E5" s="19"/>
      <c r="F5" s="19"/>
      <c r="G5" s="19"/>
      <c r="H5" s="19"/>
      <c r="I5" s="19"/>
      <c r="J5" s="19"/>
      <c r="K5" s="19"/>
      <c r="L5" s="19"/>
      <c r="M5" s="19"/>
      <c r="N5" s="19"/>
    </row>
    <row r="6" customFormat="false" ht="15" hidden="false" customHeight="false" outlineLevel="0" collapsed="false">
      <c r="A6" s="0" t="s">
        <v>142</v>
      </c>
      <c r="B6" s="13" t="n">
        <f aca="false">99_Helper!B11*0.34</f>
        <v>8121.75</v>
      </c>
      <c r="C6" s="13" t="n">
        <f aca="false">99_Helper!C11*0.34</f>
        <v>8121.75</v>
      </c>
      <c r="D6" s="13" t="n">
        <f aca="false">99_Helper!D11*0.34</f>
        <v>9282</v>
      </c>
      <c r="E6" s="13" t="n">
        <f aca="false">99_Helper!E11*0.34</f>
        <v>9282</v>
      </c>
      <c r="F6" s="13" t="n">
        <f aca="false">99_Helper!F11*0.34</f>
        <v>10442.25</v>
      </c>
      <c r="G6" s="13" t="n">
        <f aca="false">99_Helper!G11*0.34</f>
        <v>10442.25</v>
      </c>
      <c r="H6" s="13" t="n">
        <f aca="false">99_Helper!H11*0.34</f>
        <v>10442.25</v>
      </c>
      <c r="I6" s="13" t="n">
        <f aca="false">99_Helper!I11*0.34</f>
        <v>11602.5</v>
      </c>
      <c r="J6" s="13" t="n">
        <f aca="false">99_Helper!J11*0.34</f>
        <v>11602.5</v>
      </c>
      <c r="K6" s="13" t="n">
        <f aca="false">99_Helper!K11*0.34</f>
        <v>10442.25</v>
      </c>
      <c r="L6" s="13" t="n">
        <f aca="false">99_Helper!L11*0.34</f>
        <v>9282</v>
      </c>
      <c r="M6" s="13" t="n">
        <f aca="false">99_Helper!M11*0.34</f>
        <v>6961.5</v>
      </c>
      <c r="N6" s="13" t="n">
        <f aca="false">SUM(B6:M6)</f>
        <v>116025</v>
      </c>
    </row>
    <row r="7" customFormat="false" ht="15" hidden="false" customHeight="false" outlineLevel="0" collapsed="false">
      <c r="A7" s="0" t="s">
        <v>143</v>
      </c>
      <c r="B7" s="13" t="n">
        <f aca="false">99_Helper!B11*0.15</f>
        <v>3583.125</v>
      </c>
      <c r="C7" s="13" t="n">
        <f aca="false">99_Helper!C11*0.15</f>
        <v>3583.125</v>
      </c>
      <c r="D7" s="13" t="n">
        <f aca="false">99_Helper!D11*0.15</f>
        <v>4095</v>
      </c>
      <c r="E7" s="13" t="n">
        <f aca="false">99_Helper!E11*0.15</f>
        <v>4095</v>
      </c>
      <c r="F7" s="13" t="n">
        <f aca="false">99_Helper!F11*0.15</f>
        <v>4606.875</v>
      </c>
      <c r="G7" s="13" t="n">
        <f aca="false">99_Helper!G11*0.15</f>
        <v>4606.875</v>
      </c>
      <c r="H7" s="13" t="n">
        <f aca="false">99_Helper!H11*0.15</f>
        <v>4606.875</v>
      </c>
      <c r="I7" s="13" t="n">
        <f aca="false">99_Helper!I11*0.15</f>
        <v>5118.75</v>
      </c>
      <c r="J7" s="13" t="n">
        <f aca="false">99_Helper!J11*0.15</f>
        <v>5118.75</v>
      </c>
      <c r="K7" s="13" t="n">
        <f aca="false">99_Helper!K11*0.15</f>
        <v>4606.875</v>
      </c>
      <c r="L7" s="13" t="n">
        <f aca="false">99_Helper!L11*0.15</f>
        <v>4095</v>
      </c>
      <c r="M7" s="13" t="n">
        <f aca="false">99_Helper!M11*0.15</f>
        <v>3071.25</v>
      </c>
      <c r="N7" s="13" t="n">
        <f aca="false">SUM(B7:M7)</f>
        <v>51187.5</v>
      </c>
    </row>
    <row r="8" customFormat="false" ht="15" hidden="false" customHeight="false" outlineLevel="0" collapsed="false">
      <c r="A8" s="0" t="s">
        <v>144</v>
      </c>
      <c r="B8" s="13" t="n">
        <f aca="false">99_Helper!B11*0.14</f>
        <v>3344.25</v>
      </c>
      <c r="C8" s="13" t="n">
        <f aca="false">99_Helper!C11*0.14</f>
        <v>3344.25</v>
      </c>
      <c r="D8" s="13" t="n">
        <f aca="false">99_Helper!D11*0.14</f>
        <v>3822</v>
      </c>
      <c r="E8" s="13" t="n">
        <f aca="false">99_Helper!E11*0.14</f>
        <v>3822</v>
      </c>
      <c r="F8" s="13" t="n">
        <f aca="false">99_Helper!F11*0.14</f>
        <v>4299.75</v>
      </c>
      <c r="G8" s="13" t="n">
        <f aca="false">99_Helper!G11*0.14</f>
        <v>4299.75</v>
      </c>
      <c r="H8" s="13" t="n">
        <f aca="false">99_Helper!H11*0.14</f>
        <v>4299.75</v>
      </c>
      <c r="I8" s="13" t="n">
        <f aca="false">99_Helper!I11*0.14</f>
        <v>4777.5</v>
      </c>
      <c r="J8" s="13" t="n">
        <f aca="false">99_Helper!J11*0.14</f>
        <v>4777.5</v>
      </c>
      <c r="K8" s="13" t="n">
        <f aca="false">99_Helper!K11*0.14</f>
        <v>4299.75</v>
      </c>
      <c r="L8" s="13" t="n">
        <f aca="false">99_Helper!L11*0.14</f>
        <v>3822</v>
      </c>
      <c r="M8" s="13" t="n">
        <f aca="false">99_Helper!M11*0.14</f>
        <v>2866.5</v>
      </c>
      <c r="N8" s="13" t="n">
        <f aca="false">SUM(B8:M8)</f>
        <v>47775</v>
      </c>
    </row>
    <row r="9" customFormat="false" ht="15" hidden="false" customHeight="false" outlineLevel="0" collapsed="false">
      <c r="A9" s="0" t="s">
        <v>145</v>
      </c>
      <c r="B9" s="13" t="n">
        <f aca="false">99_Helper!B11*0.1</f>
        <v>2388.75</v>
      </c>
      <c r="C9" s="13" t="n">
        <f aca="false">99_Helper!C11*0.1</f>
        <v>2388.75</v>
      </c>
      <c r="D9" s="13" t="n">
        <f aca="false">99_Helper!D11*0.1</f>
        <v>2730</v>
      </c>
      <c r="E9" s="13" t="n">
        <f aca="false">99_Helper!E11*0.1</f>
        <v>2730</v>
      </c>
      <c r="F9" s="13" t="n">
        <f aca="false">99_Helper!F11*0.1</f>
        <v>3071.25</v>
      </c>
      <c r="G9" s="13" t="n">
        <f aca="false">99_Helper!G11*0.1</f>
        <v>3071.25</v>
      </c>
      <c r="H9" s="13" t="n">
        <f aca="false">99_Helper!H11*0.1</f>
        <v>3071.25</v>
      </c>
      <c r="I9" s="13" t="n">
        <f aca="false">99_Helper!I11*0.1</f>
        <v>3412.5</v>
      </c>
      <c r="J9" s="13" t="n">
        <f aca="false">99_Helper!J11*0.1</f>
        <v>3412.5</v>
      </c>
      <c r="K9" s="13" t="n">
        <f aca="false">99_Helper!K11*0.1</f>
        <v>3071.25</v>
      </c>
      <c r="L9" s="13" t="n">
        <f aca="false">99_Helper!L11*0.1</f>
        <v>2730</v>
      </c>
      <c r="M9" s="13" t="n">
        <f aca="false">99_Helper!M11*0.1</f>
        <v>2047.5</v>
      </c>
      <c r="N9" s="13" t="n">
        <f aca="false">SUM(B9:M9)</f>
        <v>34125</v>
      </c>
    </row>
    <row r="10" customFormat="false" ht="15" hidden="false" customHeight="false" outlineLevel="0" collapsed="false">
      <c r="A10" s="0" t="s">
        <v>146</v>
      </c>
      <c r="B10" s="13" t="n">
        <f aca="false">99_Helper!B11*0.09</f>
        <v>2149.875</v>
      </c>
      <c r="C10" s="13" t="n">
        <f aca="false">99_Helper!C11*0.09</f>
        <v>2149.875</v>
      </c>
      <c r="D10" s="13" t="n">
        <f aca="false">99_Helper!D11*0.09</f>
        <v>2457</v>
      </c>
      <c r="E10" s="13" t="n">
        <f aca="false">99_Helper!E11*0.09</f>
        <v>2457</v>
      </c>
      <c r="F10" s="13" t="n">
        <f aca="false">99_Helper!F11*0.09</f>
        <v>2764.125</v>
      </c>
      <c r="G10" s="13" t="n">
        <f aca="false">99_Helper!G11*0.09</f>
        <v>2764.125</v>
      </c>
      <c r="H10" s="13" t="n">
        <f aca="false">99_Helper!H11*0.09</f>
        <v>2764.125</v>
      </c>
      <c r="I10" s="13" t="n">
        <f aca="false">99_Helper!I11*0.09</f>
        <v>3071.25</v>
      </c>
      <c r="J10" s="13" t="n">
        <f aca="false">99_Helper!J11*0.09</f>
        <v>3071.25</v>
      </c>
      <c r="K10" s="13" t="n">
        <f aca="false">99_Helper!K11*0.09</f>
        <v>2764.125</v>
      </c>
      <c r="L10" s="13" t="n">
        <f aca="false">99_Helper!L11*0.09</f>
        <v>2457</v>
      </c>
      <c r="M10" s="13" t="n">
        <f aca="false">99_Helper!M11*0.09</f>
        <v>1842.75</v>
      </c>
      <c r="N10" s="13" t="n">
        <f aca="false">SUM(B10:M10)</f>
        <v>30712.5</v>
      </c>
    </row>
    <row r="11" customFormat="false" ht="15" hidden="false" customHeight="false" outlineLevel="0" collapsed="false">
      <c r="A11" s="0" t="s">
        <v>147</v>
      </c>
      <c r="B11" s="13" t="n">
        <f aca="false">99_Helper!B11*0.08</f>
        <v>1911</v>
      </c>
      <c r="C11" s="13" t="n">
        <f aca="false">99_Helper!C11*0.08</f>
        <v>1911</v>
      </c>
      <c r="D11" s="13" t="n">
        <f aca="false">99_Helper!D11*0.08</f>
        <v>2184</v>
      </c>
      <c r="E11" s="13" t="n">
        <f aca="false">99_Helper!E11*0.08</f>
        <v>2184</v>
      </c>
      <c r="F11" s="13" t="n">
        <f aca="false">99_Helper!F11*0.08</f>
        <v>2457</v>
      </c>
      <c r="G11" s="13" t="n">
        <f aca="false">99_Helper!G11*0.08</f>
        <v>2457</v>
      </c>
      <c r="H11" s="13" t="n">
        <f aca="false">99_Helper!H11*0.08</f>
        <v>2457</v>
      </c>
      <c r="I11" s="13" t="n">
        <f aca="false">99_Helper!I11*0.08</f>
        <v>2730</v>
      </c>
      <c r="J11" s="13" t="n">
        <f aca="false">99_Helper!J11*0.08</f>
        <v>2730</v>
      </c>
      <c r="K11" s="13" t="n">
        <f aca="false">99_Helper!K11*0.08</f>
        <v>2457</v>
      </c>
      <c r="L11" s="13" t="n">
        <f aca="false">99_Helper!L11*0.08</f>
        <v>2184</v>
      </c>
      <c r="M11" s="13" t="n">
        <f aca="false">99_Helper!M11*0.08</f>
        <v>1638</v>
      </c>
      <c r="N11" s="13" t="n">
        <f aca="false">SUM(B11:M11)</f>
        <v>27300</v>
      </c>
    </row>
    <row r="12" customFormat="false" ht="15" hidden="false" customHeight="false" outlineLevel="0" collapsed="false">
      <c r="A12" s="0" t="s">
        <v>148</v>
      </c>
      <c r="B12" s="13" t="n">
        <f aca="false">99_Helper!B11*0.04</f>
        <v>955.5</v>
      </c>
      <c r="C12" s="13" t="n">
        <f aca="false">99_Helper!C11*0.04</f>
        <v>955.5</v>
      </c>
      <c r="D12" s="13" t="n">
        <f aca="false">99_Helper!D11*0.04</f>
        <v>1092</v>
      </c>
      <c r="E12" s="13" t="n">
        <f aca="false">99_Helper!E11*0.04</f>
        <v>1092</v>
      </c>
      <c r="F12" s="13" t="n">
        <f aca="false">99_Helper!F11*0.04</f>
        <v>1228.5</v>
      </c>
      <c r="G12" s="13" t="n">
        <f aca="false">99_Helper!G11*0.04</f>
        <v>1228.5</v>
      </c>
      <c r="H12" s="13" t="n">
        <f aca="false">99_Helper!H11*0.04</f>
        <v>1228.5</v>
      </c>
      <c r="I12" s="13" t="n">
        <f aca="false">99_Helper!I11*0.04</f>
        <v>1365</v>
      </c>
      <c r="J12" s="13" t="n">
        <f aca="false">99_Helper!J11*0.04</f>
        <v>1365</v>
      </c>
      <c r="K12" s="13" t="n">
        <f aca="false">99_Helper!K11*0.04</f>
        <v>1228.5</v>
      </c>
      <c r="L12" s="13" t="n">
        <f aca="false">99_Helper!L11*0.04</f>
        <v>1092</v>
      </c>
      <c r="M12" s="13" t="n">
        <f aca="false">99_Helper!M11*0.04</f>
        <v>819</v>
      </c>
      <c r="N12" s="13" t="n">
        <f aca="false">SUM(B12:M12)</f>
        <v>13650</v>
      </c>
    </row>
    <row r="13" customFormat="false" ht="15" hidden="false" customHeight="false" outlineLevel="0" collapsed="false">
      <c r="A13" s="0" t="s">
        <v>149</v>
      </c>
      <c r="B13" s="13" t="n">
        <f aca="false">99_Helper!B11*0.06</f>
        <v>1433.25</v>
      </c>
      <c r="C13" s="13" t="n">
        <f aca="false">99_Helper!C11*0.06</f>
        <v>1433.25</v>
      </c>
      <c r="D13" s="13" t="n">
        <f aca="false">99_Helper!D11*0.06</f>
        <v>1638</v>
      </c>
      <c r="E13" s="13" t="n">
        <f aca="false">99_Helper!E11*0.06</f>
        <v>1638</v>
      </c>
      <c r="F13" s="13" t="n">
        <f aca="false">99_Helper!F11*0.06</f>
        <v>1842.75</v>
      </c>
      <c r="G13" s="13" t="n">
        <f aca="false">99_Helper!G11*0.06</f>
        <v>1842.75</v>
      </c>
      <c r="H13" s="13" t="n">
        <f aca="false">99_Helper!H11*0.06</f>
        <v>1842.75</v>
      </c>
      <c r="I13" s="13" t="n">
        <f aca="false">99_Helper!I11*0.06</f>
        <v>2047.5</v>
      </c>
      <c r="J13" s="13" t="n">
        <f aca="false">99_Helper!J11*0.06</f>
        <v>2047.5</v>
      </c>
      <c r="K13" s="13" t="n">
        <f aca="false">99_Helper!K11*0.06</f>
        <v>1842.75</v>
      </c>
      <c r="L13" s="13" t="n">
        <f aca="false">99_Helper!L11*0.06</f>
        <v>1638</v>
      </c>
      <c r="M13" s="13" t="n">
        <f aca="false">99_Helper!M11*0.06</f>
        <v>1228.5</v>
      </c>
      <c r="N13" s="13" t="n">
        <f aca="false">SUM(B13:M13)</f>
        <v>20475</v>
      </c>
    </row>
    <row r="14" customFormat="false" ht="15" hidden="false" customHeight="false" outlineLevel="0" collapsed="false">
      <c r="A14" s="17" t="s">
        <v>150</v>
      </c>
      <c r="B14" s="15" t="n">
        <f aca="false">SUM(B6:B13)</f>
        <v>23887.5</v>
      </c>
      <c r="C14" s="15" t="n">
        <f aca="false">SUM(C6:C13)</f>
        <v>23887.5</v>
      </c>
      <c r="D14" s="15" t="n">
        <f aca="false">SUM(D6:D13)</f>
        <v>27300</v>
      </c>
      <c r="E14" s="15" t="n">
        <f aca="false">SUM(E6:E13)</f>
        <v>27300</v>
      </c>
      <c r="F14" s="15" t="n">
        <f aca="false">SUM(F6:F13)</f>
        <v>30712.5</v>
      </c>
      <c r="G14" s="15" t="n">
        <f aca="false">SUM(G6:G13)</f>
        <v>30712.5</v>
      </c>
      <c r="H14" s="15" t="n">
        <f aca="false">SUM(H6:H13)</f>
        <v>30712.5</v>
      </c>
      <c r="I14" s="15" t="n">
        <f aca="false">SUM(I6:I13)</f>
        <v>34125</v>
      </c>
      <c r="J14" s="15" t="n">
        <f aca="false">SUM(J6:J13)</f>
        <v>34125</v>
      </c>
      <c r="K14" s="15" t="n">
        <f aca="false">SUM(K6:K13)</f>
        <v>30712.5</v>
      </c>
      <c r="L14" s="15" t="n">
        <f aca="false">SUM(L6:L13)</f>
        <v>27300</v>
      </c>
      <c r="M14" s="15" t="n">
        <f aca="false">SUM(M6:M13)</f>
        <v>20475</v>
      </c>
      <c r="N14" s="15" t="n">
        <f aca="false">SUM(B14:M14)</f>
        <v>341250</v>
      </c>
    </row>
    <row r="16" customFormat="false" ht="15" hidden="false" customHeight="false" outlineLevel="0" collapsed="false">
      <c r="A16" s="5" t="s">
        <v>105</v>
      </c>
      <c r="B16" s="19"/>
      <c r="C16" s="19"/>
      <c r="D16" s="19"/>
      <c r="E16" s="19"/>
      <c r="F16" s="19"/>
      <c r="G16" s="19"/>
      <c r="H16" s="19"/>
      <c r="I16" s="19"/>
      <c r="J16" s="19"/>
      <c r="K16" s="19"/>
      <c r="L16" s="19"/>
      <c r="M16" s="19"/>
      <c r="N16" s="19"/>
    </row>
    <row r="17" customFormat="false" ht="15" hidden="false" customHeight="false" outlineLevel="0" collapsed="false">
      <c r="A17" s="0" t="s">
        <v>142</v>
      </c>
      <c r="B17" s="13" t="n">
        <f aca="false">99_Helper!B20*0.34</f>
        <v>5697.72</v>
      </c>
      <c r="C17" s="13" t="n">
        <f aca="false">99_Helper!C20*0.34</f>
        <v>5697.72</v>
      </c>
      <c r="D17" s="13" t="n">
        <f aca="false">99_Helper!D20*0.34</f>
        <v>6511.68</v>
      </c>
      <c r="E17" s="13" t="n">
        <f aca="false">99_Helper!E20*0.34</f>
        <v>6511.68</v>
      </c>
      <c r="F17" s="13" t="n">
        <f aca="false">99_Helper!F20*0.34</f>
        <v>7325.64</v>
      </c>
      <c r="G17" s="13" t="n">
        <f aca="false">99_Helper!G20*0.34</f>
        <v>7325.64</v>
      </c>
      <c r="H17" s="13" t="n">
        <f aca="false">99_Helper!H20*0.34</f>
        <v>7325.64</v>
      </c>
      <c r="I17" s="13" t="n">
        <f aca="false">99_Helper!I20*0.34</f>
        <v>8139.6</v>
      </c>
      <c r="J17" s="13" t="n">
        <f aca="false">99_Helper!J20*0.34</f>
        <v>8139.6</v>
      </c>
      <c r="K17" s="13" t="n">
        <f aca="false">99_Helper!K20*0.34</f>
        <v>7325.64</v>
      </c>
      <c r="L17" s="13" t="n">
        <f aca="false">99_Helper!L20*0.34</f>
        <v>6511.68</v>
      </c>
      <c r="M17" s="13" t="n">
        <f aca="false">99_Helper!M20*0.34</f>
        <v>4883.76</v>
      </c>
      <c r="N17" s="13" t="n">
        <f aca="false">SUM(B17:M17)</f>
        <v>81396</v>
      </c>
    </row>
    <row r="18" customFormat="false" ht="15" hidden="false" customHeight="false" outlineLevel="0" collapsed="false">
      <c r="A18" s="0" t="s">
        <v>143</v>
      </c>
      <c r="B18" s="13" t="n">
        <f aca="false">99_Helper!B20*0.15</f>
        <v>2513.7</v>
      </c>
      <c r="C18" s="13" t="n">
        <f aca="false">99_Helper!C20*0.15</f>
        <v>2513.7</v>
      </c>
      <c r="D18" s="13" t="n">
        <f aca="false">99_Helper!D20*0.15</f>
        <v>2872.8</v>
      </c>
      <c r="E18" s="13" t="n">
        <f aca="false">99_Helper!E20*0.15</f>
        <v>2872.8</v>
      </c>
      <c r="F18" s="13" t="n">
        <f aca="false">99_Helper!F20*0.15</f>
        <v>3231.9</v>
      </c>
      <c r="G18" s="13" t="n">
        <f aca="false">99_Helper!G20*0.15</f>
        <v>3231.9</v>
      </c>
      <c r="H18" s="13" t="n">
        <f aca="false">99_Helper!H20*0.15</f>
        <v>3231.9</v>
      </c>
      <c r="I18" s="13" t="n">
        <f aca="false">99_Helper!I20*0.15</f>
        <v>3591</v>
      </c>
      <c r="J18" s="13" t="n">
        <f aca="false">99_Helper!J20*0.15</f>
        <v>3591</v>
      </c>
      <c r="K18" s="13" t="n">
        <f aca="false">99_Helper!K20*0.15</f>
        <v>3231.9</v>
      </c>
      <c r="L18" s="13" t="n">
        <f aca="false">99_Helper!L20*0.15</f>
        <v>2872.8</v>
      </c>
      <c r="M18" s="13" t="n">
        <f aca="false">99_Helper!M20*0.15</f>
        <v>2154.6</v>
      </c>
      <c r="N18" s="13" t="n">
        <f aca="false">SUM(B18:M18)</f>
        <v>35910</v>
      </c>
    </row>
    <row r="19" customFormat="false" ht="15" hidden="false" customHeight="false" outlineLevel="0" collapsed="false">
      <c r="A19" s="0" t="s">
        <v>144</v>
      </c>
      <c r="B19" s="13" t="n">
        <f aca="false">99_Helper!B20*0.14</f>
        <v>2346.12</v>
      </c>
      <c r="C19" s="13" t="n">
        <f aca="false">99_Helper!C20*0.14</f>
        <v>2346.12</v>
      </c>
      <c r="D19" s="13" t="n">
        <f aca="false">99_Helper!D20*0.14</f>
        <v>2681.28</v>
      </c>
      <c r="E19" s="13" t="n">
        <f aca="false">99_Helper!E20*0.14</f>
        <v>2681.28</v>
      </c>
      <c r="F19" s="13" t="n">
        <f aca="false">99_Helper!F20*0.14</f>
        <v>3016.44</v>
      </c>
      <c r="G19" s="13" t="n">
        <f aca="false">99_Helper!G20*0.14</f>
        <v>3016.44</v>
      </c>
      <c r="H19" s="13" t="n">
        <f aca="false">99_Helper!H20*0.14</f>
        <v>3016.44</v>
      </c>
      <c r="I19" s="13" t="n">
        <f aca="false">99_Helper!I20*0.14</f>
        <v>3351.6</v>
      </c>
      <c r="J19" s="13" t="n">
        <f aca="false">99_Helper!J20*0.14</f>
        <v>3351.6</v>
      </c>
      <c r="K19" s="13" t="n">
        <f aca="false">99_Helper!K20*0.14</f>
        <v>3016.44</v>
      </c>
      <c r="L19" s="13" t="n">
        <f aca="false">99_Helper!L20*0.14</f>
        <v>2681.28</v>
      </c>
      <c r="M19" s="13" t="n">
        <f aca="false">99_Helper!M20*0.14</f>
        <v>2010.96</v>
      </c>
      <c r="N19" s="13" t="n">
        <f aca="false">SUM(B19:M19)</f>
        <v>33516</v>
      </c>
    </row>
    <row r="20" customFormat="false" ht="15" hidden="false" customHeight="false" outlineLevel="0" collapsed="false">
      <c r="A20" s="0" t="s">
        <v>145</v>
      </c>
      <c r="B20" s="13" t="n">
        <f aca="false">99_Helper!B20*0.1</f>
        <v>1675.8</v>
      </c>
      <c r="C20" s="13" t="n">
        <f aca="false">99_Helper!C20*0.1</f>
        <v>1675.8</v>
      </c>
      <c r="D20" s="13" t="n">
        <f aca="false">99_Helper!D20*0.1</f>
        <v>1915.2</v>
      </c>
      <c r="E20" s="13" t="n">
        <f aca="false">99_Helper!E20*0.1</f>
        <v>1915.2</v>
      </c>
      <c r="F20" s="13" t="n">
        <f aca="false">99_Helper!F20*0.1</f>
        <v>2154.6</v>
      </c>
      <c r="G20" s="13" t="n">
        <f aca="false">99_Helper!G20*0.1</f>
        <v>2154.6</v>
      </c>
      <c r="H20" s="13" t="n">
        <f aca="false">99_Helper!H20*0.1</f>
        <v>2154.6</v>
      </c>
      <c r="I20" s="13" t="n">
        <f aca="false">99_Helper!I20*0.1</f>
        <v>2394</v>
      </c>
      <c r="J20" s="13" t="n">
        <f aca="false">99_Helper!J20*0.1</f>
        <v>2394</v>
      </c>
      <c r="K20" s="13" t="n">
        <f aca="false">99_Helper!K20*0.1</f>
        <v>2154.6</v>
      </c>
      <c r="L20" s="13" t="n">
        <f aca="false">99_Helper!L20*0.1</f>
        <v>1915.2</v>
      </c>
      <c r="M20" s="13" t="n">
        <f aca="false">99_Helper!M20*0.1</f>
        <v>1436.4</v>
      </c>
      <c r="N20" s="13" t="n">
        <f aca="false">SUM(B20:M20)</f>
        <v>23940</v>
      </c>
    </row>
    <row r="21" customFormat="false" ht="15" hidden="false" customHeight="false" outlineLevel="0" collapsed="false">
      <c r="A21" s="0" t="s">
        <v>146</v>
      </c>
      <c r="B21" s="13" t="n">
        <f aca="false">99_Helper!B20*0.09</f>
        <v>1508.22</v>
      </c>
      <c r="C21" s="13" t="n">
        <f aca="false">99_Helper!C20*0.09</f>
        <v>1508.22</v>
      </c>
      <c r="D21" s="13" t="n">
        <f aca="false">99_Helper!D20*0.09</f>
        <v>1723.68</v>
      </c>
      <c r="E21" s="13" t="n">
        <f aca="false">99_Helper!E20*0.09</f>
        <v>1723.68</v>
      </c>
      <c r="F21" s="13" t="n">
        <f aca="false">99_Helper!F20*0.09</f>
        <v>1939.14</v>
      </c>
      <c r="G21" s="13" t="n">
        <f aca="false">99_Helper!G20*0.09</f>
        <v>1939.14</v>
      </c>
      <c r="H21" s="13" t="n">
        <f aca="false">99_Helper!H20*0.09</f>
        <v>1939.14</v>
      </c>
      <c r="I21" s="13" t="n">
        <f aca="false">99_Helper!I20*0.09</f>
        <v>2154.6</v>
      </c>
      <c r="J21" s="13" t="n">
        <f aca="false">99_Helper!J20*0.09</f>
        <v>2154.6</v>
      </c>
      <c r="K21" s="13" t="n">
        <f aca="false">99_Helper!K20*0.09</f>
        <v>1939.14</v>
      </c>
      <c r="L21" s="13" t="n">
        <f aca="false">99_Helper!L20*0.09</f>
        <v>1723.68</v>
      </c>
      <c r="M21" s="13" t="n">
        <f aca="false">99_Helper!M20*0.09</f>
        <v>1292.76</v>
      </c>
      <c r="N21" s="13" t="n">
        <f aca="false">SUM(B21:M21)</f>
        <v>21546</v>
      </c>
    </row>
    <row r="22" customFormat="false" ht="15" hidden="false" customHeight="false" outlineLevel="0" collapsed="false">
      <c r="A22" s="0" t="s">
        <v>147</v>
      </c>
      <c r="B22" s="13" t="n">
        <f aca="false">99_Helper!B20*0.08</f>
        <v>1340.64</v>
      </c>
      <c r="C22" s="13" t="n">
        <f aca="false">99_Helper!C20*0.08</f>
        <v>1340.64</v>
      </c>
      <c r="D22" s="13" t="n">
        <f aca="false">99_Helper!D20*0.08</f>
        <v>1532.16</v>
      </c>
      <c r="E22" s="13" t="n">
        <f aca="false">99_Helper!E20*0.08</f>
        <v>1532.16</v>
      </c>
      <c r="F22" s="13" t="n">
        <f aca="false">99_Helper!F20*0.08</f>
        <v>1723.68</v>
      </c>
      <c r="G22" s="13" t="n">
        <f aca="false">99_Helper!G20*0.08</f>
        <v>1723.68</v>
      </c>
      <c r="H22" s="13" t="n">
        <f aca="false">99_Helper!H20*0.08</f>
        <v>1723.68</v>
      </c>
      <c r="I22" s="13" t="n">
        <f aca="false">99_Helper!I20*0.08</f>
        <v>1915.2</v>
      </c>
      <c r="J22" s="13" t="n">
        <f aca="false">99_Helper!J20*0.08</f>
        <v>1915.2</v>
      </c>
      <c r="K22" s="13" t="n">
        <f aca="false">99_Helper!K20*0.08</f>
        <v>1723.68</v>
      </c>
      <c r="L22" s="13" t="n">
        <f aca="false">99_Helper!L20*0.08</f>
        <v>1532.16</v>
      </c>
      <c r="M22" s="13" t="n">
        <f aca="false">99_Helper!M20*0.08</f>
        <v>1149.12</v>
      </c>
      <c r="N22" s="13" t="n">
        <f aca="false">SUM(B22:M22)</f>
        <v>19152</v>
      </c>
    </row>
    <row r="23" customFormat="false" ht="15" hidden="false" customHeight="false" outlineLevel="0" collapsed="false">
      <c r="A23" s="0" t="s">
        <v>148</v>
      </c>
      <c r="B23" s="13" t="n">
        <f aca="false">99_Helper!B20*0.04</f>
        <v>670.32</v>
      </c>
      <c r="C23" s="13" t="n">
        <f aca="false">99_Helper!C20*0.04</f>
        <v>670.32</v>
      </c>
      <c r="D23" s="13" t="n">
        <f aca="false">99_Helper!D20*0.04</f>
        <v>766.08</v>
      </c>
      <c r="E23" s="13" t="n">
        <f aca="false">99_Helper!E20*0.04</f>
        <v>766.08</v>
      </c>
      <c r="F23" s="13" t="n">
        <f aca="false">99_Helper!F20*0.04</f>
        <v>861.84</v>
      </c>
      <c r="G23" s="13" t="n">
        <f aca="false">99_Helper!G20*0.04</f>
        <v>861.84</v>
      </c>
      <c r="H23" s="13" t="n">
        <f aca="false">99_Helper!H20*0.04</f>
        <v>861.84</v>
      </c>
      <c r="I23" s="13" t="n">
        <f aca="false">99_Helper!I20*0.04</f>
        <v>957.6</v>
      </c>
      <c r="J23" s="13" t="n">
        <f aca="false">99_Helper!J20*0.04</f>
        <v>957.6</v>
      </c>
      <c r="K23" s="13" t="n">
        <f aca="false">99_Helper!K20*0.04</f>
        <v>861.84</v>
      </c>
      <c r="L23" s="13" t="n">
        <f aca="false">99_Helper!L20*0.04</f>
        <v>766.08</v>
      </c>
      <c r="M23" s="13" t="n">
        <f aca="false">99_Helper!M20*0.04</f>
        <v>574.56</v>
      </c>
      <c r="N23" s="13" t="n">
        <f aca="false">SUM(B23:M23)</f>
        <v>9576</v>
      </c>
    </row>
    <row r="24" customFormat="false" ht="15" hidden="false" customHeight="false" outlineLevel="0" collapsed="false">
      <c r="A24" s="0" t="s">
        <v>149</v>
      </c>
      <c r="B24" s="13" t="n">
        <f aca="false">99_Helper!B20*0.06</f>
        <v>1005.48</v>
      </c>
      <c r="C24" s="13" t="n">
        <f aca="false">99_Helper!C20*0.06</f>
        <v>1005.48</v>
      </c>
      <c r="D24" s="13" t="n">
        <f aca="false">99_Helper!D20*0.06</f>
        <v>1149.12</v>
      </c>
      <c r="E24" s="13" t="n">
        <f aca="false">99_Helper!E20*0.06</f>
        <v>1149.12</v>
      </c>
      <c r="F24" s="13" t="n">
        <f aca="false">99_Helper!F20*0.06</f>
        <v>1292.76</v>
      </c>
      <c r="G24" s="13" t="n">
        <f aca="false">99_Helper!G20*0.06</f>
        <v>1292.76</v>
      </c>
      <c r="H24" s="13" t="n">
        <f aca="false">99_Helper!H20*0.06</f>
        <v>1292.76</v>
      </c>
      <c r="I24" s="13" t="n">
        <f aca="false">99_Helper!I20*0.06</f>
        <v>1436.4</v>
      </c>
      <c r="J24" s="13" t="n">
        <f aca="false">99_Helper!J20*0.06</f>
        <v>1436.4</v>
      </c>
      <c r="K24" s="13" t="n">
        <f aca="false">99_Helper!K20*0.06</f>
        <v>1292.76</v>
      </c>
      <c r="L24" s="13" t="n">
        <f aca="false">99_Helper!L20*0.06</f>
        <v>1149.12</v>
      </c>
      <c r="M24" s="13" t="n">
        <f aca="false">99_Helper!M20*0.06</f>
        <v>861.84</v>
      </c>
      <c r="N24" s="13" t="n">
        <f aca="false">SUM(B24:M24)</f>
        <v>14364</v>
      </c>
    </row>
    <row r="25" customFormat="false" ht="15" hidden="false" customHeight="false" outlineLevel="0" collapsed="false">
      <c r="A25" s="17" t="s">
        <v>150</v>
      </c>
      <c r="B25" s="15" t="n">
        <f aca="false">SUM(B17:B24)</f>
        <v>16758</v>
      </c>
      <c r="C25" s="15" t="n">
        <f aca="false">SUM(C17:C24)</f>
        <v>16758</v>
      </c>
      <c r="D25" s="15" t="n">
        <f aca="false">SUM(D17:D24)</f>
        <v>19152</v>
      </c>
      <c r="E25" s="15" t="n">
        <f aca="false">SUM(E17:E24)</f>
        <v>19152</v>
      </c>
      <c r="F25" s="15" t="n">
        <f aca="false">SUM(F17:F24)</f>
        <v>21546</v>
      </c>
      <c r="G25" s="15" t="n">
        <f aca="false">SUM(G17:G24)</f>
        <v>21546</v>
      </c>
      <c r="H25" s="15" t="n">
        <f aca="false">SUM(H17:H24)</f>
        <v>21546</v>
      </c>
      <c r="I25" s="15" t="n">
        <f aca="false">SUM(I17:I24)</f>
        <v>23940</v>
      </c>
      <c r="J25" s="15" t="n">
        <f aca="false">SUM(J17:J24)</f>
        <v>23940</v>
      </c>
      <c r="K25" s="15" t="n">
        <f aca="false">SUM(K17:K24)</f>
        <v>21546</v>
      </c>
      <c r="L25" s="15" t="n">
        <f aca="false">SUM(L17:L24)</f>
        <v>19152</v>
      </c>
      <c r="M25" s="15" t="n">
        <f aca="false">SUM(M17:M24)</f>
        <v>14364</v>
      </c>
      <c r="N25" s="15" t="n">
        <f aca="false">SUM(B25:M25)</f>
        <v>239400</v>
      </c>
    </row>
    <row r="27" customFormat="false" ht="15" hidden="false" customHeight="false" outlineLevel="0" collapsed="false">
      <c r="A27" s="5" t="s">
        <v>107</v>
      </c>
      <c r="B27" s="19"/>
      <c r="C27" s="19"/>
      <c r="D27" s="19"/>
      <c r="E27" s="19"/>
      <c r="F27" s="19"/>
      <c r="G27" s="19"/>
      <c r="H27" s="19"/>
      <c r="I27" s="19"/>
      <c r="J27" s="19"/>
      <c r="K27" s="19"/>
      <c r="L27" s="19"/>
      <c r="M27" s="19"/>
      <c r="N27" s="19"/>
    </row>
    <row r="28" customFormat="false" ht="15" hidden="false" customHeight="false" outlineLevel="0" collapsed="false">
      <c r="A28" s="0" t="s">
        <v>142</v>
      </c>
      <c r="B28" s="13" t="n">
        <f aca="false">99_Helper!B29*0.34</f>
        <v>6147.54</v>
      </c>
      <c r="C28" s="13" t="n">
        <f aca="false">99_Helper!C29*0.34</f>
        <v>6147.54</v>
      </c>
      <c r="D28" s="13" t="n">
        <f aca="false">99_Helper!D29*0.34</f>
        <v>7025.76</v>
      </c>
      <c r="E28" s="13" t="n">
        <f aca="false">99_Helper!E29*0.34</f>
        <v>7025.76</v>
      </c>
      <c r="F28" s="13" t="n">
        <f aca="false">99_Helper!F29*0.34</f>
        <v>7903.98</v>
      </c>
      <c r="G28" s="13" t="n">
        <f aca="false">99_Helper!G29*0.34</f>
        <v>7903.98</v>
      </c>
      <c r="H28" s="13" t="n">
        <f aca="false">99_Helper!H29*0.34</f>
        <v>7903.98</v>
      </c>
      <c r="I28" s="13" t="n">
        <f aca="false">99_Helper!I29*0.34</f>
        <v>8782.2</v>
      </c>
      <c r="J28" s="13" t="n">
        <f aca="false">99_Helper!J29*0.34</f>
        <v>8782.2</v>
      </c>
      <c r="K28" s="13" t="n">
        <f aca="false">99_Helper!K29*0.34</f>
        <v>7903.98</v>
      </c>
      <c r="L28" s="13" t="n">
        <f aca="false">99_Helper!L29*0.34</f>
        <v>7025.76</v>
      </c>
      <c r="M28" s="13" t="n">
        <f aca="false">99_Helper!M29*0.34</f>
        <v>5269.32</v>
      </c>
      <c r="N28" s="13" t="n">
        <f aca="false">SUM(B28:M28)</f>
        <v>87822</v>
      </c>
    </row>
    <row r="29" customFormat="false" ht="15" hidden="false" customHeight="false" outlineLevel="0" collapsed="false">
      <c r="A29" s="0" t="s">
        <v>143</v>
      </c>
      <c r="B29" s="13" t="n">
        <f aca="false">99_Helper!B29*0.15</f>
        <v>2712.15</v>
      </c>
      <c r="C29" s="13" t="n">
        <f aca="false">99_Helper!C29*0.15</f>
        <v>2712.15</v>
      </c>
      <c r="D29" s="13" t="n">
        <f aca="false">99_Helper!D29*0.15</f>
        <v>3099.6</v>
      </c>
      <c r="E29" s="13" t="n">
        <f aca="false">99_Helper!E29*0.15</f>
        <v>3099.6</v>
      </c>
      <c r="F29" s="13" t="n">
        <f aca="false">99_Helper!F29*0.15</f>
        <v>3487.05</v>
      </c>
      <c r="G29" s="13" t="n">
        <f aca="false">99_Helper!G29*0.15</f>
        <v>3487.05</v>
      </c>
      <c r="H29" s="13" t="n">
        <f aca="false">99_Helper!H29*0.15</f>
        <v>3487.05</v>
      </c>
      <c r="I29" s="13" t="n">
        <f aca="false">99_Helper!I29*0.15</f>
        <v>3874.5</v>
      </c>
      <c r="J29" s="13" t="n">
        <f aca="false">99_Helper!J29*0.15</f>
        <v>3874.5</v>
      </c>
      <c r="K29" s="13" t="n">
        <f aca="false">99_Helper!K29*0.15</f>
        <v>3487.05</v>
      </c>
      <c r="L29" s="13" t="n">
        <f aca="false">99_Helper!L29*0.15</f>
        <v>3099.6</v>
      </c>
      <c r="M29" s="13" t="n">
        <f aca="false">99_Helper!M29*0.15</f>
        <v>2324.7</v>
      </c>
      <c r="N29" s="13" t="n">
        <f aca="false">SUM(B29:M29)</f>
        <v>38745</v>
      </c>
    </row>
    <row r="30" customFormat="false" ht="15" hidden="false" customHeight="false" outlineLevel="0" collapsed="false">
      <c r="A30" s="0" t="s">
        <v>144</v>
      </c>
      <c r="B30" s="13" t="n">
        <f aca="false">99_Helper!B29*0.14</f>
        <v>2531.34</v>
      </c>
      <c r="C30" s="13" t="n">
        <f aca="false">99_Helper!C29*0.14</f>
        <v>2531.34</v>
      </c>
      <c r="D30" s="13" t="n">
        <f aca="false">99_Helper!D29*0.14</f>
        <v>2892.96</v>
      </c>
      <c r="E30" s="13" t="n">
        <f aca="false">99_Helper!E29*0.14</f>
        <v>2892.96</v>
      </c>
      <c r="F30" s="13" t="n">
        <f aca="false">99_Helper!F29*0.14</f>
        <v>3254.58</v>
      </c>
      <c r="G30" s="13" t="n">
        <f aca="false">99_Helper!G29*0.14</f>
        <v>3254.58</v>
      </c>
      <c r="H30" s="13" t="n">
        <f aca="false">99_Helper!H29*0.14</f>
        <v>3254.58</v>
      </c>
      <c r="I30" s="13" t="n">
        <f aca="false">99_Helper!I29*0.14</f>
        <v>3616.2</v>
      </c>
      <c r="J30" s="13" t="n">
        <f aca="false">99_Helper!J29*0.14</f>
        <v>3616.2</v>
      </c>
      <c r="K30" s="13" t="n">
        <f aca="false">99_Helper!K29*0.14</f>
        <v>3254.58</v>
      </c>
      <c r="L30" s="13" t="n">
        <f aca="false">99_Helper!L29*0.14</f>
        <v>2892.96</v>
      </c>
      <c r="M30" s="13" t="n">
        <f aca="false">99_Helper!M29*0.14</f>
        <v>2169.72</v>
      </c>
      <c r="N30" s="13" t="n">
        <f aca="false">SUM(B30:M30)</f>
        <v>36162</v>
      </c>
    </row>
    <row r="31" customFormat="false" ht="15" hidden="false" customHeight="false" outlineLevel="0" collapsed="false">
      <c r="A31" s="0" t="s">
        <v>145</v>
      </c>
      <c r="B31" s="13" t="n">
        <f aca="false">99_Helper!B29*0.1</f>
        <v>1808.1</v>
      </c>
      <c r="C31" s="13" t="n">
        <f aca="false">99_Helper!C29*0.1</f>
        <v>1808.1</v>
      </c>
      <c r="D31" s="13" t="n">
        <f aca="false">99_Helper!D29*0.1</f>
        <v>2066.4</v>
      </c>
      <c r="E31" s="13" t="n">
        <f aca="false">99_Helper!E29*0.1</f>
        <v>2066.4</v>
      </c>
      <c r="F31" s="13" t="n">
        <f aca="false">99_Helper!F29*0.1</f>
        <v>2324.7</v>
      </c>
      <c r="G31" s="13" t="n">
        <f aca="false">99_Helper!G29*0.1</f>
        <v>2324.7</v>
      </c>
      <c r="H31" s="13" t="n">
        <f aca="false">99_Helper!H29*0.1</f>
        <v>2324.7</v>
      </c>
      <c r="I31" s="13" t="n">
        <f aca="false">99_Helper!I29*0.1</f>
        <v>2583</v>
      </c>
      <c r="J31" s="13" t="n">
        <f aca="false">99_Helper!J29*0.1</f>
        <v>2583</v>
      </c>
      <c r="K31" s="13" t="n">
        <f aca="false">99_Helper!K29*0.1</f>
        <v>2324.7</v>
      </c>
      <c r="L31" s="13" t="n">
        <f aca="false">99_Helper!L29*0.1</f>
        <v>2066.4</v>
      </c>
      <c r="M31" s="13" t="n">
        <f aca="false">99_Helper!M29*0.1</f>
        <v>1549.8</v>
      </c>
      <c r="N31" s="13" t="n">
        <f aca="false">SUM(B31:M31)</f>
        <v>25830</v>
      </c>
    </row>
    <row r="32" customFormat="false" ht="15" hidden="false" customHeight="false" outlineLevel="0" collapsed="false">
      <c r="A32" s="0" t="s">
        <v>146</v>
      </c>
      <c r="B32" s="13" t="n">
        <f aca="false">99_Helper!B29*0.09</f>
        <v>1627.29</v>
      </c>
      <c r="C32" s="13" t="n">
        <f aca="false">99_Helper!C29*0.09</f>
        <v>1627.29</v>
      </c>
      <c r="D32" s="13" t="n">
        <f aca="false">99_Helper!D29*0.09</f>
        <v>1859.76</v>
      </c>
      <c r="E32" s="13" t="n">
        <f aca="false">99_Helper!E29*0.09</f>
        <v>1859.76</v>
      </c>
      <c r="F32" s="13" t="n">
        <f aca="false">99_Helper!F29*0.09</f>
        <v>2092.23</v>
      </c>
      <c r="G32" s="13" t="n">
        <f aca="false">99_Helper!G29*0.09</f>
        <v>2092.23</v>
      </c>
      <c r="H32" s="13" t="n">
        <f aca="false">99_Helper!H29*0.09</f>
        <v>2092.23</v>
      </c>
      <c r="I32" s="13" t="n">
        <f aca="false">99_Helper!I29*0.09</f>
        <v>2324.7</v>
      </c>
      <c r="J32" s="13" t="n">
        <f aca="false">99_Helper!J29*0.09</f>
        <v>2324.7</v>
      </c>
      <c r="K32" s="13" t="n">
        <f aca="false">99_Helper!K29*0.09</f>
        <v>2092.23</v>
      </c>
      <c r="L32" s="13" t="n">
        <f aca="false">99_Helper!L29*0.09</f>
        <v>1859.76</v>
      </c>
      <c r="M32" s="13" t="n">
        <f aca="false">99_Helper!M29*0.09</f>
        <v>1394.82</v>
      </c>
      <c r="N32" s="13" t="n">
        <f aca="false">SUM(B32:M32)</f>
        <v>23247</v>
      </c>
    </row>
    <row r="33" customFormat="false" ht="15" hidden="false" customHeight="false" outlineLevel="0" collapsed="false">
      <c r="A33" s="0" t="s">
        <v>147</v>
      </c>
      <c r="B33" s="13" t="n">
        <f aca="false">99_Helper!B29*0.08</f>
        <v>1446.48</v>
      </c>
      <c r="C33" s="13" t="n">
        <f aca="false">99_Helper!C29*0.08</f>
        <v>1446.48</v>
      </c>
      <c r="D33" s="13" t="n">
        <f aca="false">99_Helper!D29*0.08</f>
        <v>1653.12</v>
      </c>
      <c r="E33" s="13" t="n">
        <f aca="false">99_Helper!E29*0.08</f>
        <v>1653.12</v>
      </c>
      <c r="F33" s="13" t="n">
        <f aca="false">99_Helper!F29*0.08</f>
        <v>1859.76</v>
      </c>
      <c r="G33" s="13" t="n">
        <f aca="false">99_Helper!G29*0.08</f>
        <v>1859.76</v>
      </c>
      <c r="H33" s="13" t="n">
        <f aca="false">99_Helper!H29*0.08</f>
        <v>1859.76</v>
      </c>
      <c r="I33" s="13" t="n">
        <f aca="false">99_Helper!I29*0.08</f>
        <v>2066.4</v>
      </c>
      <c r="J33" s="13" t="n">
        <f aca="false">99_Helper!J29*0.08</f>
        <v>2066.4</v>
      </c>
      <c r="K33" s="13" t="n">
        <f aca="false">99_Helper!K29*0.08</f>
        <v>1859.76</v>
      </c>
      <c r="L33" s="13" t="n">
        <f aca="false">99_Helper!L29*0.08</f>
        <v>1653.12</v>
      </c>
      <c r="M33" s="13" t="n">
        <f aca="false">99_Helper!M29*0.08</f>
        <v>1239.84</v>
      </c>
      <c r="N33" s="13" t="n">
        <f aca="false">SUM(B33:M33)</f>
        <v>20664</v>
      </c>
    </row>
    <row r="34" customFormat="false" ht="15" hidden="false" customHeight="false" outlineLevel="0" collapsed="false">
      <c r="A34" s="0" t="s">
        <v>148</v>
      </c>
      <c r="B34" s="13" t="n">
        <f aca="false">99_Helper!B29*0.04</f>
        <v>723.24</v>
      </c>
      <c r="C34" s="13" t="n">
        <f aca="false">99_Helper!C29*0.04</f>
        <v>723.24</v>
      </c>
      <c r="D34" s="13" t="n">
        <f aca="false">99_Helper!D29*0.04</f>
        <v>826.56</v>
      </c>
      <c r="E34" s="13" t="n">
        <f aca="false">99_Helper!E29*0.04</f>
        <v>826.56</v>
      </c>
      <c r="F34" s="13" t="n">
        <f aca="false">99_Helper!F29*0.04</f>
        <v>929.88</v>
      </c>
      <c r="G34" s="13" t="n">
        <f aca="false">99_Helper!G29*0.04</f>
        <v>929.88</v>
      </c>
      <c r="H34" s="13" t="n">
        <f aca="false">99_Helper!H29*0.04</f>
        <v>929.88</v>
      </c>
      <c r="I34" s="13" t="n">
        <f aca="false">99_Helper!I29*0.04</f>
        <v>1033.2</v>
      </c>
      <c r="J34" s="13" t="n">
        <f aca="false">99_Helper!J29*0.04</f>
        <v>1033.2</v>
      </c>
      <c r="K34" s="13" t="n">
        <f aca="false">99_Helper!K29*0.04</f>
        <v>929.88</v>
      </c>
      <c r="L34" s="13" t="n">
        <f aca="false">99_Helper!L29*0.04</f>
        <v>826.56</v>
      </c>
      <c r="M34" s="13" t="n">
        <f aca="false">99_Helper!M29*0.04</f>
        <v>619.92</v>
      </c>
      <c r="N34" s="13" t="n">
        <f aca="false">SUM(B34:M34)</f>
        <v>10332</v>
      </c>
    </row>
    <row r="35" customFormat="false" ht="15" hidden="false" customHeight="false" outlineLevel="0" collapsed="false">
      <c r="A35" s="0" t="s">
        <v>149</v>
      </c>
      <c r="B35" s="13" t="n">
        <f aca="false">99_Helper!B29*0.06</f>
        <v>1084.86</v>
      </c>
      <c r="C35" s="13" t="n">
        <f aca="false">99_Helper!C29*0.06</f>
        <v>1084.86</v>
      </c>
      <c r="D35" s="13" t="n">
        <f aca="false">99_Helper!D29*0.06</f>
        <v>1239.84</v>
      </c>
      <c r="E35" s="13" t="n">
        <f aca="false">99_Helper!E29*0.06</f>
        <v>1239.84</v>
      </c>
      <c r="F35" s="13" t="n">
        <f aca="false">99_Helper!F29*0.06</f>
        <v>1394.82</v>
      </c>
      <c r="G35" s="13" t="n">
        <f aca="false">99_Helper!G29*0.06</f>
        <v>1394.82</v>
      </c>
      <c r="H35" s="13" t="n">
        <f aca="false">99_Helper!H29*0.06</f>
        <v>1394.82</v>
      </c>
      <c r="I35" s="13" t="n">
        <f aca="false">99_Helper!I29*0.06</f>
        <v>1549.8</v>
      </c>
      <c r="J35" s="13" t="n">
        <f aca="false">99_Helper!J29*0.06</f>
        <v>1549.8</v>
      </c>
      <c r="K35" s="13" t="n">
        <f aca="false">99_Helper!K29*0.06</f>
        <v>1394.82</v>
      </c>
      <c r="L35" s="13" t="n">
        <f aca="false">99_Helper!L29*0.06</f>
        <v>1239.84</v>
      </c>
      <c r="M35" s="13" t="n">
        <f aca="false">99_Helper!M29*0.06</f>
        <v>929.88</v>
      </c>
      <c r="N35" s="13" t="n">
        <f aca="false">SUM(B35:M35)</f>
        <v>15498</v>
      </c>
    </row>
    <row r="36" customFormat="false" ht="15" hidden="false" customHeight="false" outlineLevel="0" collapsed="false">
      <c r="A36" s="17" t="s">
        <v>150</v>
      </c>
      <c r="B36" s="15" t="n">
        <f aca="false">SUM(B28:B35)</f>
        <v>18081</v>
      </c>
      <c r="C36" s="15" t="n">
        <f aca="false">SUM(C28:C35)</f>
        <v>18081</v>
      </c>
      <c r="D36" s="15" t="n">
        <f aca="false">SUM(D28:D35)</f>
        <v>20664</v>
      </c>
      <c r="E36" s="15" t="n">
        <f aca="false">SUM(E28:E35)</f>
        <v>20664</v>
      </c>
      <c r="F36" s="15" t="n">
        <f aca="false">SUM(F28:F35)</f>
        <v>23247</v>
      </c>
      <c r="G36" s="15" t="n">
        <f aca="false">SUM(G28:G35)</f>
        <v>23247</v>
      </c>
      <c r="H36" s="15" t="n">
        <f aca="false">SUM(H28:H35)</f>
        <v>23247</v>
      </c>
      <c r="I36" s="15" t="n">
        <f aca="false">SUM(I28:I35)</f>
        <v>25830</v>
      </c>
      <c r="J36" s="15" t="n">
        <f aca="false">SUM(J28:J35)</f>
        <v>25830</v>
      </c>
      <c r="K36" s="15" t="n">
        <f aca="false">SUM(K28:K35)</f>
        <v>23247</v>
      </c>
      <c r="L36" s="15" t="n">
        <f aca="false">SUM(L28:L35)</f>
        <v>20664</v>
      </c>
      <c r="M36" s="15" t="n">
        <f aca="false">SUM(M28:M35)</f>
        <v>15498</v>
      </c>
      <c r="N36" s="15" t="n">
        <f aca="false">SUM(B36:M36)</f>
        <v>258300</v>
      </c>
    </row>
    <row r="38" customFormat="false" ht="15" hidden="false" customHeight="false" outlineLevel="0" collapsed="false">
      <c r="A38" s="5" t="s">
        <v>109</v>
      </c>
      <c r="B38" s="19"/>
      <c r="C38" s="19"/>
      <c r="D38" s="19"/>
      <c r="E38" s="19"/>
      <c r="F38" s="19"/>
      <c r="G38" s="19"/>
      <c r="H38" s="19"/>
      <c r="I38" s="19"/>
      <c r="J38" s="19"/>
      <c r="K38" s="19"/>
      <c r="L38" s="19"/>
      <c r="M38" s="19"/>
      <c r="N38" s="19"/>
    </row>
    <row r="39" customFormat="false" ht="15" hidden="false" customHeight="false" outlineLevel="0" collapsed="false">
      <c r="A39" s="0" t="s">
        <v>142</v>
      </c>
      <c r="B39" s="13" t="n">
        <f aca="false">99_Helper!B38*0.34</f>
        <v>7946.82</v>
      </c>
      <c r="C39" s="13" t="n">
        <f aca="false">99_Helper!C38*0.34</f>
        <v>7946.82</v>
      </c>
      <c r="D39" s="13" t="n">
        <f aca="false">99_Helper!D38*0.34</f>
        <v>9082.08</v>
      </c>
      <c r="E39" s="13" t="n">
        <f aca="false">99_Helper!E38*0.34</f>
        <v>9082.08</v>
      </c>
      <c r="F39" s="13" t="n">
        <f aca="false">99_Helper!F38*0.34</f>
        <v>10217.34</v>
      </c>
      <c r="G39" s="13" t="n">
        <f aca="false">99_Helper!G38*0.34</f>
        <v>10217.34</v>
      </c>
      <c r="H39" s="13" t="n">
        <f aca="false">99_Helper!H38*0.34</f>
        <v>10217.34</v>
      </c>
      <c r="I39" s="13" t="n">
        <f aca="false">99_Helper!I38*0.34</f>
        <v>11352.6</v>
      </c>
      <c r="J39" s="13" t="n">
        <f aca="false">99_Helper!J38*0.34</f>
        <v>11352.6</v>
      </c>
      <c r="K39" s="13" t="n">
        <f aca="false">99_Helper!K38*0.34</f>
        <v>10217.34</v>
      </c>
      <c r="L39" s="13" t="n">
        <f aca="false">99_Helper!L38*0.34</f>
        <v>9082.08</v>
      </c>
      <c r="M39" s="13" t="n">
        <f aca="false">99_Helper!M38*0.34</f>
        <v>6811.56</v>
      </c>
      <c r="N39" s="13" t="n">
        <f aca="false">SUM(B39:M39)</f>
        <v>113526</v>
      </c>
    </row>
    <row r="40" customFormat="false" ht="15" hidden="false" customHeight="false" outlineLevel="0" collapsed="false">
      <c r="A40" s="0" t="s">
        <v>143</v>
      </c>
      <c r="B40" s="13" t="n">
        <f aca="false">99_Helper!B38*0.15</f>
        <v>3505.95</v>
      </c>
      <c r="C40" s="13" t="n">
        <f aca="false">99_Helper!C38*0.15</f>
        <v>3505.95</v>
      </c>
      <c r="D40" s="13" t="n">
        <f aca="false">99_Helper!D38*0.15</f>
        <v>4006.8</v>
      </c>
      <c r="E40" s="13" t="n">
        <f aca="false">99_Helper!E38*0.15</f>
        <v>4006.8</v>
      </c>
      <c r="F40" s="13" t="n">
        <f aca="false">99_Helper!F38*0.15</f>
        <v>4507.65</v>
      </c>
      <c r="G40" s="13" t="n">
        <f aca="false">99_Helper!G38*0.15</f>
        <v>4507.65</v>
      </c>
      <c r="H40" s="13" t="n">
        <f aca="false">99_Helper!H38*0.15</f>
        <v>4507.65</v>
      </c>
      <c r="I40" s="13" t="n">
        <f aca="false">99_Helper!I38*0.15</f>
        <v>5008.5</v>
      </c>
      <c r="J40" s="13" t="n">
        <f aca="false">99_Helper!J38*0.15</f>
        <v>5008.5</v>
      </c>
      <c r="K40" s="13" t="n">
        <f aca="false">99_Helper!K38*0.15</f>
        <v>4507.65</v>
      </c>
      <c r="L40" s="13" t="n">
        <f aca="false">99_Helper!L38*0.15</f>
        <v>4006.8</v>
      </c>
      <c r="M40" s="13" t="n">
        <f aca="false">99_Helper!M38*0.15</f>
        <v>3005.1</v>
      </c>
      <c r="N40" s="13" t="n">
        <f aca="false">SUM(B40:M40)</f>
        <v>50085</v>
      </c>
    </row>
    <row r="41" customFormat="false" ht="15" hidden="false" customHeight="false" outlineLevel="0" collapsed="false">
      <c r="A41" s="0" t="s">
        <v>144</v>
      </c>
      <c r="B41" s="13" t="n">
        <f aca="false">99_Helper!B38*0.14</f>
        <v>3272.22</v>
      </c>
      <c r="C41" s="13" t="n">
        <f aca="false">99_Helper!C38*0.14</f>
        <v>3272.22</v>
      </c>
      <c r="D41" s="13" t="n">
        <f aca="false">99_Helper!D38*0.14</f>
        <v>3739.68</v>
      </c>
      <c r="E41" s="13" t="n">
        <f aca="false">99_Helper!E38*0.14</f>
        <v>3739.68</v>
      </c>
      <c r="F41" s="13" t="n">
        <f aca="false">99_Helper!F38*0.14</f>
        <v>4207.14</v>
      </c>
      <c r="G41" s="13" t="n">
        <f aca="false">99_Helper!G38*0.14</f>
        <v>4207.14</v>
      </c>
      <c r="H41" s="13" t="n">
        <f aca="false">99_Helper!H38*0.14</f>
        <v>4207.14</v>
      </c>
      <c r="I41" s="13" t="n">
        <f aca="false">99_Helper!I38*0.14</f>
        <v>4674.6</v>
      </c>
      <c r="J41" s="13" t="n">
        <f aca="false">99_Helper!J38*0.14</f>
        <v>4674.6</v>
      </c>
      <c r="K41" s="13" t="n">
        <f aca="false">99_Helper!K38*0.14</f>
        <v>4207.14</v>
      </c>
      <c r="L41" s="13" t="n">
        <f aca="false">99_Helper!L38*0.14</f>
        <v>3739.68</v>
      </c>
      <c r="M41" s="13" t="n">
        <f aca="false">99_Helper!M38*0.14</f>
        <v>2804.76</v>
      </c>
      <c r="N41" s="13" t="n">
        <f aca="false">SUM(B41:M41)</f>
        <v>46746</v>
      </c>
    </row>
    <row r="42" customFormat="false" ht="15" hidden="false" customHeight="false" outlineLevel="0" collapsed="false">
      <c r="A42" s="0" t="s">
        <v>145</v>
      </c>
      <c r="B42" s="13" t="n">
        <f aca="false">99_Helper!B38*0.1</f>
        <v>2337.3</v>
      </c>
      <c r="C42" s="13" t="n">
        <f aca="false">99_Helper!C38*0.1</f>
        <v>2337.3</v>
      </c>
      <c r="D42" s="13" t="n">
        <f aca="false">99_Helper!D38*0.1</f>
        <v>2671.2</v>
      </c>
      <c r="E42" s="13" t="n">
        <f aca="false">99_Helper!E38*0.1</f>
        <v>2671.2</v>
      </c>
      <c r="F42" s="13" t="n">
        <f aca="false">99_Helper!F38*0.1</f>
        <v>3005.1</v>
      </c>
      <c r="G42" s="13" t="n">
        <f aca="false">99_Helper!G38*0.1</f>
        <v>3005.1</v>
      </c>
      <c r="H42" s="13" t="n">
        <f aca="false">99_Helper!H38*0.1</f>
        <v>3005.1</v>
      </c>
      <c r="I42" s="13" t="n">
        <f aca="false">99_Helper!I38*0.1</f>
        <v>3339</v>
      </c>
      <c r="J42" s="13" t="n">
        <f aca="false">99_Helper!J38*0.1</f>
        <v>3339</v>
      </c>
      <c r="K42" s="13" t="n">
        <f aca="false">99_Helper!K38*0.1</f>
        <v>3005.1</v>
      </c>
      <c r="L42" s="13" t="n">
        <f aca="false">99_Helper!L38*0.1</f>
        <v>2671.2</v>
      </c>
      <c r="M42" s="13" t="n">
        <f aca="false">99_Helper!M38*0.1</f>
        <v>2003.4</v>
      </c>
      <c r="N42" s="13" t="n">
        <f aca="false">SUM(B42:M42)</f>
        <v>33390</v>
      </c>
    </row>
    <row r="43" customFormat="false" ht="15" hidden="false" customHeight="false" outlineLevel="0" collapsed="false">
      <c r="A43" s="0" t="s">
        <v>146</v>
      </c>
      <c r="B43" s="13" t="n">
        <f aca="false">99_Helper!B38*0.09</f>
        <v>2103.57</v>
      </c>
      <c r="C43" s="13" t="n">
        <f aca="false">99_Helper!C38*0.09</f>
        <v>2103.57</v>
      </c>
      <c r="D43" s="13" t="n">
        <f aca="false">99_Helper!D38*0.09</f>
        <v>2404.08</v>
      </c>
      <c r="E43" s="13" t="n">
        <f aca="false">99_Helper!E38*0.09</f>
        <v>2404.08</v>
      </c>
      <c r="F43" s="13" t="n">
        <f aca="false">99_Helper!F38*0.09</f>
        <v>2704.59</v>
      </c>
      <c r="G43" s="13" t="n">
        <f aca="false">99_Helper!G38*0.09</f>
        <v>2704.59</v>
      </c>
      <c r="H43" s="13" t="n">
        <f aca="false">99_Helper!H38*0.09</f>
        <v>2704.59</v>
      </c>
      <c r="I43" s="13" t="n">
        <f aca="false">99_Helper!I38*0.09</f>
        <v>3005.1</v>
      </c>
      <c r="J43" s="13" t="n">
        <f aca="false">99_Helper!J38*0.09</f>
        <v>3005.1</v>
      </c>
      <c r="K43" s="13" t="n">
        <f aca="false">99_Helper!K38*0.09</f>
        <v>2704.59</v>
      </c>
      <c r="L43" s="13" t="n">
        <f aca="false">99_Helper!L38*0.09</f>
        <v>2404.08</v>
      </c>
      <c r="M43" s="13" t="n">
        <f aca="false">99_Helper!M38*0.09</f>
        <v>1803.06</v>
      </c>
      <c r="N43" s="13" t="n">
        <f aca="false">SUM(B43:M43)</f>
        <v>30051</v>
      </c>
    </row>
    <row r="44" customFormat="false" ht="15" hidden="false" customHeight="false" outlineLevel="0" collapsed="false">
      <c r="A44" s="0" t="s">
        <v>147</v>
      </c>
      <c r="B44" s="13" t="n">
        <f aca="false">99_Helper!B38*0.08</f>
        <v>1869.84</v>
      </c>
      <c r="C44" s="13" t="n">
        <f aca="false">99_Helper!C38*0.08</f>
        <v>1869.84</v>
      </c>
      <c r="D44" s="13" t="n">
        <f aca="false">99_Helper!D38*0.08</f>
        <v>2136.96</v>
      </c>
      <c r="E44" s="13" t="n">
        <f aca="false">99_Helper!E38*0.08</f>
        <v>2136.96</v>
      </c>
      <c r="F44" s="13" t="n">
        <f aca="false">99_Helper!F38*0.08</f>
        <v>2404.08</v>
      </c>
      <c r="G44" s="13" t="n">
        <f aca="false">99_Helper!G38*0.08</f>
        <v>2404.08</v>
      </c>
      <c r="H44" s="13" t="n">
        <f aca="false">99_Helper!H38*0.08</f>
        <v>2404.08</v>
      </c>
      <c r="I44" s="13" t="n">
        <f aca="false">99_Helper!I38*0.08</f>
        <v>2671.2</v>
      </c>
      <c r="J44" s="13" t="n">
        <f aca="false">99_Helper!J38*0.08</f>
        <v>2671.2</v>
      </c>
      <c r="K44" s="13" t="n">
        <f aca="false">99_Helper!K38*0.08</f>
        <v>2404.08</v>
      </c>
      <c r="L44" s="13" t="n">
        <f aca="false">99_Helper!L38*0.08</f>
        <v>2136.96</v>
      </c>
      <c r="M44" s="13" t="n">
        <f aca="false">99_Helper!M38*0.08</f>
        <v>1602.72</v>
      </c>
      <c r="N44" s="13" t="n">
        <f aca="false">SUM(B44:M44)</f>
        <v>26712</v>
      </c>
    </row>
    <row r="45" customFormat="false" ht="15" hidden="false" customHeight="false" outlineLevel="0" collapsed="false">
      <c r="A45" s="0" t="s">
        <v>148</v>
      </c>
      <c r="B45" s="13" t="n">
        <f aca="false">99_Helper!B38*0.04</f>
        <v>934.92</v>
      </c>
      <c r="C45" s="13" t="n">
        <f aca="false">99_Helper!C38*0.04</f>
        <v>934.92</v>
      </c>
      <c r="D45" s="13" t="n">
        <f aca="false">99_Helper!D38*0.04</f>
        <v>1068.48</v>
      </c>
      <c r="E45" s="13" t="n">
        <f aca="false">99_Helper!E38*0.04</f>
        <v>1068.48</v>
      </c>
      <c r="F45" s="13" t="n">
        <f aca="false">99_Helper!F38*0.04</f>
        <v>1202.04</v>
      </c>
      <c r="G45" s="13" t="n">
        <f aca="false">99_Helper!G38*0.04</f>
        <v>1202.04</v>
      </c>
      <c r="H45" s="13" t="n">
        <f aca="false">99_Helper!H38*0.04</f>
        <v>1202.04</v>
      </c>
      <c r="I45" s="13" t="n">
        <f aca="false">99_Helper!I38*0.04</f>
        <v>1335.6</v>
      </c>
      <c r="J45" s="13" t="n">
        <f aca="false">99_Helper!J38*0.04</f>
        <v>1335.6</v>
      </c>
      <c r="K45" s="13" t="n">
        <f aca="false">99_Helper!K38*0.04</f>
        <v>1202.04</v>
      </c>
      <c r="L45" s="13" t="n">
        <f aca="false">99_Helper!L38*0.04</f>
        <v>1068.48</v>
      </c>
      <c r="M45" s="13" t="n">
        <f aca="false">99_Helper!M38*0.04</f>
        <v>801.36</v>
      </c>
      <c r="N45" s="13" t="n">
        <f aca="false">SUM(B45:M45)</f>
        <v>13356</v>
      </c>
    </row>
    <row r="46" customFormat="false" ht="15" hidden="false" customHeight="false" outlineLevel="0" collapsed="false">
      <c r="A46" s="0" t="s">
        <v>149</v>
      </c>
      <c r="B46" s="13" t="n">
        <f aca="false">99_Helper!B38*0.06</f>
        <v>1402.38</v>
      </c>
      <c r="C46" s="13" t="n">
        <f aca="false">99_Helper!C38*0.06</f>
        <v>1402.38</v>
      </c>
      <c r="D46" s="13" t="n">
        <f aca="false">99_Helper!D38*0.06</f>
        <v>1602.72</v>
      </c>
      <c r="E46" s="13" t="n">
        <f aca="false">99_Helper!E38*0.06</f>
        <v>1602.72</v>
      </c>
      <c r="F46" s="13" t="n">
        <f aca="false">99_Helper!F38*0.06</f>
        <v>1803.06</v>
      </c>
      <c r="G46" s="13" t="n">
        <f aca="false">99_Helper!G38*0.06</f>
        <v>1803.06</v>
      </c>
      <c r="H46" s="13" t="n">
        <f aca="false">99_Helper!H38*0.06</f>
        <v>1803.06</v>
      </c>
      <c r="I46" s="13" t="n">
        <f aca="false">99_Helper!I38*0.06</f>
        <v>2003.4</v>
      </c>
      <c r="J46" s="13" t="n">
        <f aca="false">99_Helper!J38*0.06</f>
        <v>2003.4</v>
      </c>
      <c r="K46" s="13" t="n">
        <f aca="false">99_Helper!K38*0.06</f>
        <v>1803.06</v>
      </c>
      <c r="L46" s="13" t="n">
        <f aca="false">99_Helper!L38*0.06</f>
        <v>1602.72</v>
      </c>
      <c r="M46" s="13" t="n">
        <f aca="false">99_Helper!M38*0.06</f>
        <v>1202.04</v>
      </c>
      <c r="N46" s="13" t="n">
        <f aca="false">SUM(B46:M46)</f>
        <v>20034</v>
      </c>
    </row>
    <row r="47" customFormat="false" ht="15" hidden="false" customHeight="false" outlineLevel="0" collapsed="false">
      <c r="A47" s="17" t="s">
        <v>150</v>
      </c>
      <c r="B47" s="15" t="n">
        <f aca="false">SUM(B39:B46)</f>
        <v>23373</v>
      </c>
      <c r="C47" s="15" t="n">
        <f aca="false">SUM(C39:C46)</f>
        <v>23373</v>
      </c>
      <c r="D47" s="15" t="n">
        <f aca="false">SUM(D39:D46)</f>
        <v>26712</v>
      </c>
      <c r="E47" s="15" t="n">
        <f aca="false">SUM(E39:E46)</f>
        <v>26712</v>
      </c>
      <c r="F47" s="15" t="n">
        <f aca="false">SUM(F39:F46)</f>
        <v>30051</v>
      </c>
      <c r="G47" s="15" t="n">
        <f aca="false">SUM(G39:G46)</f>
        <v>30051</v>
      </c>
      <c r="H47" s="15" t="n">
        <f aca="false">SUM(H39:H46)</f>
        <v>30051</v>
      </c>
      <c r="I47" s="15" t="n">
        <f aca="false">SUM(I39:I46)</f>
        <v>33390</v>
      </c>
      <c r="J47" s="15" t="n">
        <f aca="false">SUM(J39:J46)</f>
        <v>33390</v>
      </c>
      <c r="K47" s="15" t="n">
        <f aca="false">SUM(K39:K46)</f>
        <v>30051</v>
      </c>
      <c r="L47" s="15" t="n">
        <f aca="false">SUM(L39:L46)</f>
        <v>26712</v>
      </c>
      <c r="M47" s="15" t="n">
        <f aca="false">SUM(M39:M46)</f>
        <v>20034</v>
      </c>
      <c r="N47" s="15" t="n">
        <f aca="false">SUM(B47:M47)</f>
        <v>333900</v>
      </c>
    </row>
    <row r="49" customFormat="false" ht="15" hidden="false" customHeight="false" outlineLevel="0" collapsed="false">
      <c r="A49" s="17" t="s">
        <v>151</v>
      </c>
      <c r="B49" s="20" t="n">
        <f aca="false">SUM(B14,B25,B36,B47)</f>
        <v>82099.5</v>
      </c>
      <c r="C49" s="20" t="n">
        <f aca="false">SUM(C14,C25,C36,C47)</f>
        <v>82099.5</v>
      </c>
      <c r="D49" s="20" t="n">
        <f aca="false">SUM(D14,D25,D36,D47)</f>
        <v>93828</v>
      </c>
      <c r="E49" s="20" t="n">
        <f aca="false">SUM(E14,E25,E36,E47)</f>
        <v>93828</v>
      </c>
      <c r="F49" s="20" t="n">
        <f aca="false">SUM(F14,F25,F36,F47)</f>
        <v>105556.5</v>
      </c>
      <c r="G49" s="20" t="n">
        <f aca="false">SUM(G14,G25,G36,G47)</f>
        <v>105556.5</v>
      </c>
      <c r="H49" s="20" t="n">
        <f aca="false">SUM(H14,H25,H36,H47)</f>
        <v>105556.5</v>
      </c>
      <c r="I49" s="20" t="n">
        <f aca="false">SUM(I14,I25,I36,I47)</f>
        <v>117285</v>
      </c>
      <c r="J49" s="20" t="n">
        <f aca="false">SUM(J14,J25,J36,J47)</f>
        <v>117285</v>
      </c>
      <c r="K49" s="20" t="n">
        <f aca="false">SUM(K14,K25,K36,K47)</f>
        <v>105556.5</v>
      </c>
      <c r="L49" s="20" t="n">
        <f aca="false">SUM(L14,L25,L36,L47)</f>
        <v>93828</v>
      </c>
      <c r="M49" s="20" t="n">
        <f aca="false">SUM(M14,M25,M36,M47)</f>
        <v>70371</v>
      </c>
      <c r="N49" s="20" t="n">
        <f aca="false">SUM(N14,N25,N36,N47)</f>
        <v>1172850</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14" min="2" style="0" width="11"/>
  </cols>
  <sheetData>
    <row r="1" customFormat="false" ht="18.55" hidden="false" customHeight="false" outlineLevel="0" collapsed="false">
      <c r="A1" s="1" t="s">
        <v>152</v>
      </c>
      <c r="B1" s="1"/>
      <c r="C1" s="1"/>
      <c r="D1" s="1"/>
      <c r="E1" s="1"/>
      <c r="F1" s="1"/>
      <c r="G1" s="1"/>
      <c r="H1" s="1"/>
      <c r="I1" s="1"/>
      <c r="J1" s="1"/>
      <c r="K1" s="1"/>
      <c r="L1" s="1"/>
      <c r="M1" s="1"/>
      <c r="N1" s="1"/>
      <c r="O1" s="1"/>
    </row>
    <row r="2" customFormat="false" ht="15" hidden="false" customHeight="false" outlineLevel="0" collapsed="false">
      <c r="A2" s="2" t="s">
        <v>153</v>
      </c>
      <c r="B2" s="2"/>
      <c r="C2" s="2"/>
      <c r="D2" s="2"/>
      <c r="E2" s="2"/>
      <c r="F2" s="2"/>
      <c r="G2" s="2"/>
      <c r="H2" s="2"/>
      <c r="I2" s="2"/>
      <c r="J2" s="2"/>
      <c r="K2" s="2"/>
      <c r="L2" s="2"/>
      <c r="M2" s="2"/>
      <c r="N2" s="2"/>
      <c r="O2" s="2"/>
    </row>
    <row r="4" customFormat="false" ht="16.4" hidden="false" customHeight="false" outlineLevel="0" collapsed="false">
      <c r="A4" s="3" t="s">
        <v>8</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0" t="s">
        <v>154</v>
      </c>
      <c r="B5" s="21" t="n">
        <f aca="false">18000*'02 Budget Assumptions'!B$30</f>
        <v>1260</v>
      </c>
      <c r="C5" s="21" t="n">
        <f aca="false">18000*'02 Budget Assumptions'!C$30</f>
        <v>1260</v>
      </c>
      <c r="D5" s="21" t="n">
        <f aca="false">18000*'02 Budget Assumptions'!D$30</f>
        <v>1440</v>
      </c>
      <c r="E5" s="21" t="n">
        <f aca="false">18000*'02 Budget Assumptions'!E$30</f>
        <v>1440</v>
      </c>
      <c r="F5" s="21" t="n">
        <f aca="false">18000*'02 Budget Assumptions'!F$30</f>
        <v>1620</v>
      </c>
      <c r="G5" s="21" t="n">
        <f aca="false">18000*'02 Budget Assumptions'!G$30</f>
        <v>1620</v>
      </c>
      <c r="H5" s="21" t="n">
        <f aca="false">18000*'02 Budget Assumptions'!H$30</f>
        <v>1800</v>
      </c>
      <c r="I5" s="21" t="n">
        <f aca="false">18000*'02 Budget Assumptions'!I$30</f>
        <v>1800</v>
      </c>
      <c r="J5" s="21" t="n">
        <f aca="false">18000*'02 Budget Assumptions'!J$30</f>
        <v>1620</v>
      </c>
      <c r="K5" s="21" t="n">
        <f aca="false">18000*'02 Budget Assumptions'!K$30</f>
        <v>1440</v>
      </c>
      <c r="L5" s="21" t="n">
        <f aca="false">18000*'02 Budget Assumptions'!L$30</f>
        <v>1440</v>
      </c>
      <c r="M5" s="21" t="n">
        <f aca="false">18000*'02 Budget Assumptions'!M$30</f>
        <v>1260</v>
      </c>
      <c r="N5" s="13" t="n">
        <f aca="false">SUM(B5:M5)</f>
        <v>18000</v>
      </c>
    </row>
    <row r="6" customFormat="false" ht="15" hidden="false" customHeight="false" outlineLevel="0" collapsed="false">
      <c r="A6" s="0" t="s">
        <v>155</v>
      </c>
      <c r="B6" s="21" t="n">
        <f aca="false">14000*'02 Budget Assumptions'!B$30</f>
        <v>980</v>
      </c>
      <c r="C6" s="21" t="n">
        <f aca="false">14000*'02 Budget Assumptions'!C$30</f>
        <v>980</v>
      </c>
      <c r="D6" s="21" t="n">
        <f aca="false">14000*'02 Budget Assumptions'!D$30</f>
        <v>1120</v>
      </c>
      <c r="E6" s="21" t="n">
        <f aca="false">14000*'02 Budget Assumptions'!E$30</f>
        <v>1120</v>
      </c>
      <c r="F6" s="21" t="n">
        <f aca="false">14000*'02 Budget Assumptions'!F$30</f>
        <v>1260</v>
      </c>
      <c r="G6" s="21" t="n">
        <f aca="false">14000*'02 Budget Assumptions'!G$30</f>
        <v>1260</v>
      </c>
      <c r="H6" s="21" t="n">
        <f aca="false">14000*'02 Budget Assumptions'!H$30</f>
        <v>1400</v>
      </c>
      <c r="I6" s="21" t="n">
        <f aca="false">14000*'02 Budget Assumptions'!I$30</f>
        <v>1400</v>
      </c>
      <c r="J6" s="21" t="n">
        <f aca="false">14000*'02 Budget Assumptions'!J$30</f>
        <v>1260</v>
      </c>
      <c r="K6" s="21" t="n">
        <f aca="false">14000*'02 Budget Assumptions'!K$30</f>
        <v>1120</v>
      </c>
      <c r="L6" s="21" t="n">
        <f aca="false">14000*'02 Budget Assumptions'!L$30</f>
        <v>1120</v>
      </c>
      <c r="M6" s="21" t="n">
        <f aca="false">14000*'02 Budget Assumptions'!M$30</f>
        <v>980</v>
      </c>
      <c r="N6" s="13" t="n">
        <f aca="false">SUM(B6:M6)</f>
        <v>14000</v>
      </c>
    </row>
    <row r="7" customFormat="false" ht="15" hidden="false" customHeight="false" outlineLevel="0" collapsed="false">
      <c r="A7" s="0" t="s">
        <v>156</v>
      </c>
      <c r="B7" s="13" t="n">
        <f aca="false">('03 Revenue Budget'!B5+'03 Revenue Budget'!B6)*'02 Budget Assumptions'!$C$8</f>
        <v>3385.7928</v>
      </c>
      <c r="C7" s="13" t="n">
        <f aca="false">('03 Revenue Budget'!C5+'03 Revenue Budget'!C6)*'02 Budget Assumptions'!$C$8</f>
        <v>3950.0916</v>
      </c>
      <c r="D7" s="13" t="n">
        <f aca="false">('03 Revenue Budget'!D5+'03 Revenue Budget'!D6)*'02 Budget Assumptions'!$C$8</f>
        <v>4514.3904</v>
      </c>
      <c r="E7" s="13" t="n">
        <f aca="false">('03 Revenue Budget'!E5+'03 Revenue Budget'!E6)*'02 Budget Assumptions'!$C$8</f>
        <v>4514.3904</v>
      </c>
      <c r="F7" s="13" t="n">
        <f aca="false">('03 Revenue Budget'!F5+'03 Revenue Budget'!F6)*'02 Budget Assumptions'!$C$8</f>
        <v>5078.6892</v>
      </c>
      <c r="G7" s="13" t="n">
        <f aca="false">('03 Revenue Budget'!G5+'03 Revenue Budget'!G6)*'02 Budget Assumptions'!$C$8</f>
        <v>5078.6892</v>
      </c>
      <c r="H7" s="13" t="n">
        <f aca="false">('03 Revenue Budget'!H5+'03 Revenue Budget'!H6)*'02 Budget Assumptions'!$C$8</f>
        <v>5642.988</v>
      </c>
      <c r="I7" s="13" t="n">
        <f aca="false">('03 Revenue Budget'!I5+'03 Revenue Budget'!I6)*'02 Budget Assumptions'!$C$8</f>
        <v>5642.988</v>
      </c>
      <c r="J7" s="13" t="n">
        <f aca="false">('03 Revenue Budget'!J5+'03 Revenue Budget'!J6)*'02 Budget Assumptions'!$C$8</f>
        <v>5078.6892</v>
      </c>
      <c r="K7" s="13" t="n">
        <f aca="false">('03 Revenue Budget'!K5+'03 Revenue Budget'!K6)*'02 Budget Assumptions'!$C$8</f>
        <v>5078.6892</v>
      </c>
      <c r="L7" s="13" t="n">
        <f aca="false">('03 Revenue Budget'!L5+'03 Revenue Budget'!L6)*'02 Budget Assumptions'!$C$8</f>
        <v>4514.3904</v>
      </c>
      <c r="M7" s="13" t="n">
        <f aca="false">('03 Revenue Budget'!M5+'03 Revenue Budget'!M6)*'02 Budget Assumptions'!$C$8</f>
        <v>3950.0916</v>
      </c>
      <c r="N7" s="13" t="n">
        <f aca="false">SUM(B7:M7)</f>
        <v>56429.88</v>
      </c>
    </row>
    <row r="8" customFormat="false" ht="15" hidden="false" customHeight="false" outlineLevel="0" collapsed="false">
      <c r="A8" s="0" t="s">
        <v>157</v>
      </c>
      <c r="B8" s="21" t="n">
        <f aca="false">12000*'02 Budget Assumptions'!B$30</f>
        <v>840</v>
      </c>
      <c r="C8" s="21" t="n">
        <f aca="false">12000*'02 Budget Assumptions'!C$30</f>
        <v>840</v>
      </c>
      <c r="D8" s="21" t="n">
        <f aca="false">12000*'02 Budget Assumptions'!D$30</f>
        <v>960</v>
      </c>
      <c r="E8" s="21" t="n">
        <f aca="false">12000*'02 Budget Assumptions'!E$30</f>
        <v>960</v>
      </c>
      <c r="F8" s="21" t="n">
        <f aca="false">12000*'02 Budget Assumptions'!F$30</f>
        <v>1080</v>
      </c>
      <c r="G8" s="21" t="n">
        <f aca="false">12000*'02 Budget Assumptions'!G$30</f>
        <v>1080</v>
      </c>
      <c r="H8" s="21" t="n">
        <f aca="false">12000*'02 Budget Assumptions'!H$30</f>
        <v>1200</v>
      </c>
      <c r="I8" s="21" t="n">
        <f aca="false">12000*'02 Budget Assumptions'!I$30</f>
        <v>1200</v>
      </c>
      <c r="J8" s="21" t="n">
        <f aca="false">12000*'02 Budget Assumptions'!J$30</f>
        <v>1080</v>
      </c>
      <c r="K8" s="21" t="n">
        <f aca="false">12000*'02 Budget Assumptions'!K$30</f>
        <v>960</v>
      </c>
      <c r="L8" s="21" t="n">
        <f aca="false">12000*'02 Budget Assumptions'!L$30</f>
        <v>960</v>
      </c>
      <c r="M8" s="21" t="n">
        <f aca="false">12000*'02 Budget Assumptions'!M$30</f>
        <v>840</v>
      </c>
      <c r="N8" s="13" t="n">
        <f aca="false">SUM(B8:M8)</f>
        <v>12000</v>
      </c>
    </row>
    <row r="9" customFormat="false" ht="15" hidden="false" customHeight="false" outlineLevel="0" collapsed="false">
      <c r="A9" s="0" t="s">
        <v>158</v>
      </c>
      <c r="B9" s="21" t="n">
        <v>300</v>
      </c>
      <c r="C9" s="21" t="n">
        <v>600</v>
      </c>
      <c r="D9" s="21" t="n">
        <v>300</v>
      </c>
      <c r="E9" s="21" t="n">
        <v>300</v>
      </c>
      <c r="F9" s="21" t="n">
        <v>600</v>
      </c>
      <c r="G9" s="21" t="n">
        <v>300</v>
      </c>
      <c r="H9" s="21" t="n">
        <v>300</v>
      </c>
      <c r="I9" s="21" t="n">
        <v>600</v>
      </c>
      <c r="J9" s="21" t="n">
        <v>300</v>
      </c>
      <c r="K9" s="21" t="n">
        <v>300</v>
      </c>
      <c r="L9" s="21" t="n">
        <v>600</v>
      </c>
      <c r="M9" s="21" t="n">
        <v>300</v>
      </c>
      <c r="N9" s="13" t="n">
        <f aca="false">SUM(B9:M9)</f>
        <v>4800</v>
      </c>
    </row>
    <row r="10" customFormat="false" ht="15" hidden="false" customHeight="false" outlineLevel="0" collapsed="false">
      <c r="A10" s="0" t="s">
        <v>159</v>
      </c>
      <c r="B10" s="21" t="n">
        <f aca="false">9500*'02 Budget Assumptions'!B$30</f>
        <v>665</v>
      </c>
      <c r="C10" s="21" t="n">
        <f aca="false">9500*'02 Budget Assumptions'!C$30</f>
        <v>665</v>
      </c>
      <c r="D10" s="21" t="n">
        <f aca="false">9500*'02 Budget Assumptions'!D$30</f>
        <v>760</v>
      </c>
      <c r="E10" s="21" t="n">
        <f aca="false">9500*'02 Budget Assumptions'!E$30</f>
        <v>760</v>
      </c>
      <c r="F10" s="21" t="n">
        <f aca="false">9500*'02 Budget Assumptions'!F$30</f>
        <v>855</v>
      </c>
      <c r="G10" s="21" t="n">
        <f aca="false">9500*'02 Budget Assumptions'!G$30</f>
        <v>855</v>
      </c>
      <c r="H10" s="21" t="n">
        <f aca="false">9500*'02 Budget Assumptions'!H$30</f>
        <v>950</v>
      </c>
      <c r="I10" s="21" t="n">
        <f aca="false">9500*'02 Budget Assumptions'!I$30</f>
        <v>950</v>
      </c>
      <c r="J10" s="21" t="n">
        <f aca="false">9500*'02 Budget Assumptions'!J$30</f>
        <v>855</v>
      </c>
      <c r="K10" s="21" t="n">
        <f aca="false">9500*'02 Budget Assumptions'!K$30</f>
        <v>760</v>
      </c>
      <c r="L10" s="21" t="n">
        <f aca="false">9500*'02 Budget Assumptions'!L$30</f>
        <v>760</v>
      </c>
      <c r="M10" s="21" t="n">
        <f aca="false">9500*'02 Budget Assumptions'!M$30</f>
        <v>665</v>
      </c>
      <c r="N10" s="13" t="n">
        <f aca="false">SUM(B10:M10)</f>
        <v>9500</v>
      </c>
    </row>
    <row r="11" customFormat="false" ht="15" hidden="false" customHeight="false" outlineLevel="0" collapsed="false">
      <c r="A11" s="17" t="s">
        <v>160</v>
      </c>
      <c r="B11" s="15" t="n">
        <f aca="false">SUM(B5:B10)</f>
        <v>7430.7928</v>
      </c>
      <c r="C11" s="15" t="n">
        <f aca="false">SUM(C5:C10)</f>
        <v>8295.0916</v>
      </c>
      <c r="D11" s="15" t="n">
        <f aca="false">SUM(D5:D10)</f>
        <v>9094.3904</v>
      </c>
      <c r="E11" s="15" t="n">
        <f aca="false">SUM(E5:E10)</f>
        <v>9094.3904</v>
      </c>
      <c r="F11" s="15" t="n">
        <f aca="false">SUM(F5:F10)</f>
        <v>10493.6892</v>
      </c>
      <c r="G11" s="15" t="n">
        <f aca="false">SUM(G5:G10)</f>
        <v>10193.6892</v>
      </c>
      <c r="H11" s="15" t="n">
        <f aca="false">SUM(H5:H10)</f>
        <v>11292.988</v>
      </c>
      <c r="I11" s="15" t="n">
        <f aca="false">SUM(I5:I10)</f>
        <v>11592.988</v>
      </c>
      <c r="J11" s="15" t="n">
        <f aca="false">SUM(J5:J10)</f>
        <v>10193.6892</v>
      </c>
      <c r="K11" s="15" t="n">
        <f aca="false">SUM(K5:K10)</f>
        <v>9658.6892</v>
      </c>
      <c r="L11" s="15" t="n">
        <f aca="false">SUM(L5:L10)</f>
        <v>9394.3904</v>
      </c>
      <c r="M11" s="15" t="n">
        <f aca="false">SUM(M5:M10)</f>
        <v>7995.0916</v>
      </c>
      <c r="N11" s="15" t="n">
        <f aca="false">SUM(N5:N10)</f>
        <v>114729.88</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14" min="2" style="0" width="11"/>
  </cols>
  <sheetData>
    <row r="1" customFormat="false" ht="18.55" hidden="false" customHeight="false" outlineLevel="0" collapsed="false">
      <c r="A1" s="1" t="s">
        <v>161</v>
      </c>
      <c r="B1" s="1"/>
      <c r="C1" s="1"/>
      <c r="D1" s="1"/>
      <c r="E1" s="1"/>
      <c r="F1" s="1"/>
      <c r="G1" s="1"/>
      <c r="H1" s="1"/>
      <c r="I1" s="1"/>
      <c r="J1" s="1"/>
      <c r="K1" s="1"/>
      <c r="L1" s="1"/>
      <c r="M1" s="1"/>
      <c r="N1" s="1"/>
      <c r="O1" s="1"/>
    </row>
    <row r="2" customFormat="false" ht="15" hidden="false" customHeight="false" outlineLevel="0" collapsed="false">
      <c r="A2" s="2" t="s">
        <v>162</v>
      </c>
      <c r="B2" s="2"/>
      <c r="C2" s="2"/>
      <c r="D2" s="2"/>
      <c r="E2" s="2"/>
      <c r="F2" s="2"/>
      <c r="G2" s="2"/>
      <c r="H2" s="2"/>
      <c r="I2" s="2"/>
      <c r="J2" s="2"/>
      <c r="K2" s="2"/>
      <c r="L2" s="2"/>
      <c r="M2" s="2"/>
      <c r="N2" s="2"/>
      <c r="O2" s="2"/>
    </row>
    <row r="4" customFormat="false" ht="16.4" hidden="false" customHeight="false" outlineLevel="0" collapsed="false">
      <c r="A4" s="3" t="s">
        <v>8</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0" t="s">
        <v>163</v>
      </c>
      <c r="B5" s="21" t="n">
        <v>2200</v>
      </c>
      <c r="C5" s="21" t="n">
        <v>2200</v>
      </c>
      <c r="D5" s="21" t="n">
        <v>2200</v>
      </c>
      <c r="E5" s="21" t="n">
        <v>2200</v>
      </c>
      <c r="F5" s="21" t="n">
        <v>2200</v>
      </c>
      <c r="G5" s="21" t="n">
        <v>2200</v>
      </c>
      <c r="H5" s="21" t="n">
        <v>2200</v>
      </c>
      <c r="I5" s="21" t="n">
        <v>2200</v>
      </c>
      <c r="J5" s="21" t="n">
        <v>2200</v>
      </c>
      <c r="K5" s="21" t="n">
        <v>2200</v>
      </c>
      <c r="L5" s="21" t="n">
        <v>2200</v>
      </c>
      <c r="M5" s="21" t="n">
        <v>2200</v>
      </c>
      <c r="N5" s="13" t="n">
        <f aca="false">SUM(B5:M5)</f>
        <v>26400</v>
      </c>
    </row>
    <row r="6" customFormat="false" ht="15" hidden="false" customHeight="false" outlineLevel="0" collapsed="false">
      <c r="A6" s="0" t="s">
        <v>164</v>
      </c>
      <c r="B6" s="8" t="n">
        <f aca="false">'08 Headcount Budget'!H13</f>
        <v>4086.44</v>
      </c>
      <c r="C6" s="8" t="n">
        <f aca="false">'08 Headcount Budget'!H13</f>
        <v>4086.44</v>
      </c>
      <c r="D6" s="8" t="n">
        <f aca="false">'08 Headcount Budget'!H13</f>
        <v>4086.44</v>
      </c>
      <c r="E6" s="8" t="n">
        <f aca="false">'08 Headcount Budget'!H13</f>
        <v>4086.44</v>
      </c>
      <c r="F6" s="8" t="n">
        <f aca="false">'08 Headcount Budget'!H13</f>
        <v>4086.44</v>
      </c>
      <c r="G6" s="8" t="n">
        <f aca="false">'08 Headcount Budget'!H13</f>
        <v>4086.44</v>
      </c>
      <c r="H6" s="8" t="n">
        <f aca="false">'08 Headcount Budget'!H13</f>
        <v>4086.44</v>
      </c>
      <c r="I6" s="8" t="n">
        <f aca="false">'08 Headcount Budget'!H13</f>
        <v>4086.44</v>
      </c>
      <c r="J6" s="8" t="n">
        <f aca="false">'08 Headcount Budget'!H13</f>
        <v>4086.44</v>
      </c>
      <c r="K6" s="8" t="n">
        <f aca="false">'08 Headcount Budget'!H13</f>
        <v>4086.44</v>
      </c>
      <c r="L6" s="8" t="n">
        <f aca="false">'08 Headcount Budget'!H13</f>
        <v>4086.44</v>
      </c>
      <c r="M6" s="8" t="n">
        <f aca="false">'08 Headcount Budget'!H13</f>
        <v>4086.44</v>
      </c>
      <c r="N6" s="13" t="n">
        <f aca="false">SUM(B6:M6)</f>
        <v>49037.28</v>
      </c>
    </row>
    <row r="7" customFormat="false" ht="15" hidden="false" customHeight="false" outlineLevel="0" collapsed="false">
      <c r="A7" s="0" t="s">
        <v>165</v>
      </c>
      <c r="B7" s="13" t="n">
        <v>0</v>
      </c>
      <c r="C7" s="13" t="n">
        <v>0</v>
      </c>
      <c r="D7" s="13" t="n">
        <v>0</v>
      </c>
      <c r="E7" s="13" t="n">
        <v>0</v>
      </c>
      <c r="F7" s="13" t="n">
        <v>0</v>
      </c>
      <c r="G7" s="13" t="n">
        <v>0</v>
      </c>
      <c r="H7" s="13" t="n">
        <v>0</v>
      </c>
      <c r="I7" s="13" t="n">
        <v>0</v>
      </c>
      <c r="J7" s="13" t="n">
        <v>0</v>
      </c>
      <c r="K7" s="13" t="n">
        <v>0</v>
      </c>
      <c r="L7" s="13" t="n">
        <v>0</v>
      </c>
      <c r="M7" s="8" t="n">
        <f aca="false">'08 Headcount Budget'!F13</f>
        <v>4145.28</v>
      </c>
      <c r="N7" s="13" t="n">
        <f aca="false">SUM(B7:M7)</f>
        <v>4145.28</v>
      </c>
    </row>
    <row r="8" customFormat="false" ht="15" hidden="false" customHeight="false" outlineLevel="0" collapsed="false">
      <c r="A8" s="0" t="s">
        <v>166</v>
      </c>
      <c r="B8" s="21" t="n">
        <v>950</v>
      </c>
      <c r="C8" s="21" t="n">
        <v>950</v>
      </c>
      <c r="D8" s="21" t="n">
        <v>950</v>
      </c>
      <c r="E8" s="21" t="n">
        <v>950</v>
      </c>
      <c r="F8" s="21" t="n">
        <v>950</v>
      </c>
      <c r="G8" s="21" t="n">
        <v>950</v>
      </c>
      <c r="H8" s="21" t="n">
        <v>950</v>
      </c>
      <c r="I8" s="21" t="n">
        <v>950</v>
      </c>
      <c r="J8" s="21" t="n">
        <v>950</v>
      </c>
      <c r="K8" s="21" t="n">
        <v>950</v>
      </c>
      <c r="L8" s="21" t="n">
        <v>950</v>
      </c>
      <c r="M8" s="21" t="n">
        <v>950</v>
      </c>
      <c r="N8" s="13" t="n">
        <f aca="false">SUM(B8:M8)</f>
        <v>11400</v>
      </c>
    </row>
    <row r="9" customFormat="false" ht="15" hidden="false" customHeight="false" outlineLevel="0" collapsed="false">
      <c r="A9" s="0" t="s">
        <v>167</v>
      </c>
      <c r="B9" s="13" t="n">
        <f aca="false">180*(1+'02 Budget Assumptions'!$C$12/12)^(0)</f>
        <v>180</v>
      </c>
      <c r="C9" s="13" t="n">
        <f aca="false">180*(1+'02 Budget Assumptions'!$C$12/12)^(1)</f>
        <v>180.6</v>
      </c>
      <c r="D9" s="13" t="n">
        <f aca="false">180*(1+'02 Budget Assumptions'!$C$12/12)^(2)</f>
        <v>181.202</v>
      </c>
      <c r="E9" s="13" t="n">
        <f aca="false">180*(1+'02 Budget Assumptions'!$C$12/12)^(3)</f>
        <v>181.806006666667</v>
      </c>
      <c r="F9" s="13" t="n">
        <f aca="false">180*(1+'02 Budget Assumptions'!$C$12/12)^(4)</f>
        <v>182.412026688889</v>
      </c>
      <c r="G9" s="13" t="n">
        <f aca="false">180*(1+'02 Budget Assumptions'!$C$12/12)^(5)</f>
        <v>183.020066777852</v>
      </c>
      <c r="H9" s="13" t="n">
        <f aca="false">180*(1+'02 Budget Assumptions'!$C$12/12)^(6)</f>
        <v>183.630133667111</v>
      </c>
      <c r="I9" s="13" t="n">
        <f aca="false">180*(1+'02 Budget Assumptions'!$C$12/12)^(7)</f>
        <v>184.242234112669</v>
      </c>
      <c r="J9" s="13" t="n">
        <f aca="false">180*(1+'02 Budget Assumptions'!$C$12/12)^(8)</f>
        <v>184.856374893044</v>
      </c>
      <c r="K9" s="13" t="n">
        <f aca="false">180*(1+'02 Budget Assumptions'!$C$12/12)^(9)</f>
        <v>185.472562809354</v>
      </c>
      <c r="L9" s="13" t="n">
        <f aca="false">180*(1+'02 Budget Assumptions'!$C$12/12)^(10)</f>
        <v>186.090804685385</v>
      </c>
      <c r="M9" s="13" t="n">
        <f aca="false">180*(1+'02 Budget Assumptions'!$C$12/12)^(11)</f>
        <v>186.71110736767</v>
      </c>
      <c r="N9" s="13" t="n">
        <f aca="false">SUM(B9:M9)</f>
        <v>2200.04331766864</v>
      </c>
    </row>
    <row r="10" customFormat="false" ht="15" hidden="false" customHeight="false" outlineLevel="0" collapsed="false">
      <c r="A10" s="0" t="s">
        <v>168</v>
      </c>
      <c r="B10" s="21" t="n">
        <v>220</v>
      </c>
      <c r="C10" s="21" t="n">
        <v>220</v>
      </c>
      <c r="D10" s="21" t="n">
        <v>220</v>
      </c>
      <c r="E10" s="21" t="n">
        <v>220</v>
      </c>
      <c r="F10" s="21" t="n">
        <v>220</v>
      </c>
      <c r="G10" s="21" t="n">
        <v>220</v>
      </c>
      <c r="H10" s="21" t="n">
        <v>220</v>
      </c>
      <c r="I10" s="21" t="n">
        <v>220</v>
      </c>
      <c r="J10" s="21" t="n">
        <v>220</v>
      </c>
      <c r="K10" s="21" t="n">
        <v>220</v>
      </c>
      <c r="L10" s="21" t="n">
        <v>220</v>
      </c>
      <c r="M10" s="21" t="n">
        <v>220</v>
      </c>
      <c r="N10" s="13" t="n">
        <f aca="false">SUM(B10:M10)</f>
        <v>2640</v>
      </c>
    </row>
    <row r="11" customFormat="false" ht="15" hidden="false" customHeight="false" outlineLevel="0" collapsed="false">
      <c r="A11" s="0" t="s">
        <v>169</v>
      </c>
      <c r="B11" s="21" t="n">
        <v>280</v>
      </c>
      <c r="C11" s="21" t="n">
        <v>280</v>
      </c>
      <c r="D11" s="21" t="n">
        <v>280</v>
      </c>
      <c r="E11" s="21" t="n">
        <v>280</v>
      </c>
      <c r="F11" s="21" t="n">
        <v>280</v>
      </c>
      <c r="G11" s="21" t="n">
        <v>280</v>
      </c>
      <c r="H11" s="21" t="n">
        <v>280</v>
      </c>
      <c r="I11" s="21" t="n">
        <v>280</v>
      </c>
      <c r="J11" s="21" t="n">
        <v>280</v>
      </c>
      <c r="K11" s="21" t="n">
        <v>280</v>
      </c>
      <c r="L11" s="21" t="n">
        <v>280</v>
      </c>
      <c r="M11" s="21" t="n">
        <v>280</v>
      </c>
      <c r="N11" s="13" t="n">
        <f aca="false">SUM(B11:M11)</f>
        <v>3360</v>
      </c>
    </row>
    <row r="12" customFormat="false" ht="15" hidden="false" customHeight="false" outlineLevel="0" collapsed="false">
      <c r="A12" s="0" t="s">
        <v>170</v>
      </c>
      <c r="B12" s="21" t="n">
        <v>420</v>
      </c>
      <c r="C12" s="21" t="n">
        <v>420</v>
      </c>
      <c r="D12" s="21" t="n">
        <v>420</v>
      </c>
      <c r="E12" s="21" t="n">
        <v>420</v>
      </c>
      <c r="F12" s="21" t="n">
        <v>420</v>
      </c>
      <c r="G12" s="21" t="n">
        <v>420</v>
      </c>
      <c r="H12" s="21" t="n">
        <v>420</v>
      </c>
      <c r="I12" s="21" t="n">
        <v>420</v>
      </c>
      <c r="J12" s="21" t="n">
        <v>420</v>
      </c>
      <c r="K12" s="21" t="n">
        <v>420</v>
      </c>
      <c r="L12" s="21" t="n">
        <v>420</v>
      </c>
      <c r="M12" s="21" t="n">
        <v>420</v>
      </c>
      <c r="N12" s="13" t="n">
        <f aca="false">SUM(B12:M12)</f>
        <v>5040</v>
      </c>
    </row>
    <row r="13" customFormat="false" ht="15" hidden="false" customHeight="false" outlineLevel="0" collapsed="false">
      <c r="A13" s="0" t="s">
        <v>171</v>
      </c>
      <c r="B13" s="21" t="n">
        <v>210</v>
      </c>
      <c r="C13" s="21" t="n">
        <v>210</v>
      </c>
      <c r="D13" s="21" t="n">
        <v>210</v>
      </c>
      <c r="E13" s="21" t="n">
        <v>210</v>
      </c>
      <c r="F13" s="21" t="n">
        <v>210</v>
      </c>
      <c r="G13" s="21" t="n">
        <v>210</v>
      </c>
      <c r="H13" s="21" t="n">
        <v>210</v>
      </c>
      <c r="I13" s="21" t="n">
        <v>210</v>
      </c>
      <c r="J13" s="21" t="n">
        <v>210</v>
      </c>
      <c r="K13" s="21" t="n">
        <v>210</v>
      </c>
      <c r="L13" s="21" t="n">
        <v>210</v>
      </c>
      <c r="M13" s="21" t="n">
        <v>210</v>
      </c>
      <c r="N13" s="13" t="n">
        <f aca="false">SUM(B13:M13)</f>
        <v>2520</v>
      </c>
    </row>
    <row r="14" customFormat="false" ht="15" hidden="false" customHeight="false" outlineLevel="0" collapsed="false">
      <c r="A14" s="0" t="s">
        <v>172</v>
      </c>
      <c r="B14" s="21" t="n">
        <v>160</v>
      </c>
      <c r="C14" s="21" t="n">
        <v>160</v>
      </c>
      <c r="D14" s="21" t="n">
        <v>160</v>
      </c>
      <c r="E14" s="21" t="n">
        <v>160</v>
      </c>
      <c r="F14" s="21" t="n">
        <v>160</v>
      </c>
      <c r="G14" s="21" t="n">
        <v>160</v>
      </c>
      <c r="H14" s="21" t="n">
        <v>160</v>
      </c>
      <c r="I14" s="21" t="n">
        <v>160</v>
      </c>
      <c r="J14" s="21" t="n">
        <v>160</v>
      </c>
      <c r="K14" s="21" t="n">
        <v>160</v>
      </c>
      <c r="L14" s="21" t="n">
        <v>160</v>
      </c>
      <c r="M14" s="21" t="n">
        <v>160</v>
      </c>
      <c r="N14" s="13" t="n">
        <f aca="false">SUM(B14:M14)</f>
        <v>1920</v>
      </c>
    </row>
    <row r="15" customFormat="false" ht="15" hidden="false" customHeight="false" outlineLevel="0" collapsed="false">
      <c r="A15" s="0" t="s">
        <v>173</v>
      </c>
      <c r="B15" s="15" t="n">
        <f aca="false">SUM(B5:B14)</f>
        <v>8706.44</v>
      </c>
      <c r="C15" s="15" t="n">
        <f aca="false">SUM(C5:C14)</f>
        <v>8707.04</v>
      </c>
      <c r="D15" s="15" t="n">
        <f aca="false">SUM(D5:D14)</f>
        <v>8707.642</v>
      </c>
      <c r="E15" s="15" t="n">
        <f aca="false">SUM(E5:E14)</f>
        <v>8708.24600666667</v>
      </c>
      <c r="F15" s="15" t="n">
        <f aca="false">SUM(F5:F14)</f>
        <v>8708.85202668889</v>
      </c>
      <c r="G15" s="15" t="n">
        <f aca="false">SUM(G5:G14)</f>
        <v>8709.46006677785</v>
      </c>
      <c r="H15" s="15" t="n">
        <f aca="false">SUM(H5:H14)</f>
        <v>8710.07013366711</v>
      </c>
      <c r="I15" s="15" t="n">
        <f aca="false">SUM(I5:I14)</f>
        <v>8710.68223411267</v>
      </c>
      <c r="J15" s="15" t="n">
        <f aca="false">SUM(J5:J14)</f>
        <v>8711.29637489305</v>
      </c>
      <c r="K15" s="15" t="n">
        <f aca="false">SUM(K5:K14)</f>
        <v>8711.91256280935</v>
      </c>
      <c r="L15" s="15" t="n">
        <f aca="false">SUM(L5:L14)</f>
        <v>8712.53080468539</v>
      </c>
      <c r="M15" s="15" t="n">
        <f aca="false">SUM(M5:M14)</f>
        <v>12858.4311073677</v>
      </c>
      <c r="N15" s="18" t="n">
        <f aca="false">SUM(B15:M15)</f>
        <v>108662.603317669</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4" min="3" style="0" width="18"/>
    <col collapsed="false" customWidth="true" hidden="false" outlineLevel="0" max="5" min="5" style="0" width="10"/>
    <col collapsed="false" customWidth="true" hidden="false" outlineLevel="0" max="8" min="6" style="0" width="14"/>
    <col collapsed="false" customWidth="true" hidden="false" outlineLevel="0" max="9" min="9" style="0" width="42"/>
  </cols>
  <sheetData>
    <row r="1" customFormat="false" ht="18.55" hidden="false" customHeight="false" outlineLevel="0" collapsed="false">
      <c r="A1" s="1" t="s">
        <v>174</v>
      </c>
      <c r="B1" s="1"/>
      <c r="C1" s="1"/>
      <c r="D1" s="1"/>
      <c r="E1" s="1"/>
      <c r="F1" s="1"/>
      <c r="G1" s="1"/>
      <c r="H1" s="1"/>
      <c r="I1" s="1"/>
    </row>
    <row r="2" customFormat="false" ht="15" hidden="false" customHeight="false" outlineLevel="0" collapsed="false">
      <c r="A2" s="2" t="s">
        <v>175</v>
      </c>
      <c r="B2" s="2"/>
      <c r="C2" s="2"/>
      <c r="D2" s="2"/>
      <c r="E2" s="2"/>
      <c r="F2" s="2"/>
      <c r="G2" s="2"/>
      <c r="H2" s="2"/>
      <c r="I2" s="2"/>
    </row>
    <row r="4" customFormat="false" ht="31.3" hidden="false" customHeight="false" outlineLevel="0" collapsed="false">
      <c r="A4" s="3" t="s">
        <v>176</v>
      </c>
      <c r="B4" s="3" t="s">
        <v>177</v>
      </c>
      <c r="C4" s="3" t="s">
        <v>178</v>
      </c>
      <c r="D4" s="3" t="s">
        <v>179</v>
      </c>
      <c r="E4" s="3" t="s">
        <v>180</v>
      </c>
      <c r="F4" s="3" t="s">
        <v>181</v>
      </c>
      <c r="G4" s="3" t="s">
        <v>182</v>
      </c>
      <c r="H4" s="3" t="s">
        <v>183</v>
      </c>
      <c r="I4" s="3" t="s">
        <v>4</v>
      </c>
    </row>
    <row r="5" customFormat="false" ht="15" hidden="false" customHeight="false" outlineLevel="0" collapsed="false">
      <c r="A5" s="0" t="s">
        <v>184</v>
      </c>
      <c r="B5" s="21" t="n">
        <v>12</v>
      </c>
      <c r="C5" s="21" t="n">
        <v>45</v>
      </c>
      <c r="D5" s="13" t="n">
        <f aca="false">B5*C5*12</f>
        <v>6480</v>
      </c>
      <c r="E5" s="22" t="n">
        <v>0.1</v>
      </c>
      <c r="F5" s="13" t="n">
        <f aca="false">D5*E5</f>
        <v>648</v>
      </c>
      <c r="G5" s="13" t="n">
        <f aca="false">D5+F5</f>
        <v>7128</v>
      </c>
      <c r="H5" s="13" t="n">
        <f aca="false">G5/12</f>
        <v>594</v>
      </c>
      <c r="I5" s="0" t="s">
        <v>185</v>
      </c>
    </row>
    <row r="6" customFormat="false" ht="15" hidden="false" customHeight="false" outlineLevel="0" collapsed="false">
      <c r="A6" s="0" t="s">
        <v>11</v>
      </c>
      <c r="B6" s="21" t="n">
        <v>28</v>
      </c>
      <c r="C6" s="21" t="n">
        <v>38</v>
      </c>
      <c r="D6" s="13" t="n">
        <f aca="false">B6*C6*12</f>
        <v>12768</v>
      </c>
      <c r="E6" s="22" t="n">
        <v>0.1</v>
      </c>
      <c r="F6" s="13" t="n">
        <f aca="false">D6*E6</f>
        <v>1276.8</v>
      </c>
      <c r="G6" s="13" t="n">
        <f aca="false">D6+F6</f>
        <v>14044.8</v>
      </c>
      <c r="H6" s="13" t="n">
        <f aca="false">G6/12</f>
        <v>1170.4</v>
      </c>
      <c r="I6" s="0" t="s">
        <v>185</v>
      </c>
    </row>
    <row r="7" customFormat="false" ht="15" hidden="false" customHeight="false" outlineLevel="0" collapsed="false">
      <c r="A7" s="0" t="s">
        <v>186</v>
      </c>
      <c r="B7" s="21" t="n">
        <v>22</v>
      </c>
      <c r="C7" s="21" t="n">
        <v>32</v>
      </c>
      <c r="D7" s="13" t="n">
        <f aca="false">B7*C7*12</f>
        <v>8448</v>
      </c>
      <c r="E7" s="22" t="n">
        <v>0.1</v>
      </c>
      <c r="F7" s="13" t="n">
        <f aca="false">D7*E7</f>
        <v>844.8</v>
      </c>
      <c r="G7" s="13" t="n">
        <f aca="false">D7+F7</f>
        <v>9292.8</v>
      </c>
      <c r="H7" s="13" t="n">
        <f aca="false">G7/12</f>
        <v>774.4</v>
      </c>
      <c r="I7" s="0" t="s">
        <v>185</v>
      </c>
    </row>
    <row r="8" customFormat="false" ht="15" hidden="false" customHeight="false" outlineLevel="0" collapsed="false">
      <c r="A8" s="0" t="s">
        <v>187</v>
      </c>
      <c r="B8" s="21" t="n">
        <v>10</v>
      </c>
      <c r="C8" s="21" t="n">
        <v>28</v>
      </c>
      <c r="D8" s="13" t="n">
        <f aca="false">B8*C8*12</f>
        <v>3360</v>
      </c>
      <c r="E8" s="22" t="n">
        <v>0.08</v>
      </c>
      <c r="F8" s="13" t="n">
        <f aca="false">D8*E8</f>
        <v>268.8</v>
      </c>
      <c r="G8" s="13" t="n">
        <f aca="false">D8+F8</f>
        <v>3628.8</v>
      </c>
      <c r="H8" s="13" t="n">
        <f aca="false">G8/12</f>
        <v>302.4</v>
      </c>
      <c r="I8" s="0" t="s">
        <v>185</v>
      </c>
    </row>
    <row r="9" customFormat="false" ht="15" hidden="false" customHeight="false" outlineLevel="0" collapsed="false">
      <c r="A9" s="0" t="s">
        <v>188</v>
      </c>
      <c r="B9" s="21" t="n">
        <v>12</v>
      </c>
      <c r="C9" s="21" t="n">
        <v>30</v>
      </c>
      <c r="D9" s="13" t="n">
        <f aca="false">B9*C9*12</f>
        <v>4320</v>
      </c>
      <c r="E9" s="22" t="n">
        <v>0.08</v>
      </c>
      <c r="F9" s="13" t="n">
        <f aca="false">D9*E9</f>
        <v>345.6</v>
      </c>
      <c r="G9" s="13" t="n">
        <f aca="false">D9+F9</f>
        <v>4665.6</v>
      </c>
      <c r="H9" s="13" t="n">
        <f aca="false">G9/12</f>
        <v>388.8</v>
      </c>
      <c r="I9" s="0" t="s">
        <v>185</v>
      </c>
    </row>
    <row r="10" customFormat="false" ht="15" hidden="false" customHeight="false" outlineLevel="0" collapsed="false">
      <c r="A10" s="0" t="s">
        <v>189</v>
      </c>
      <c r="B10" s="21" t="n">
        <v>5</v>
      </c>
      <c r="C10" s="21" t="n">
        <v>35</v>
      </c>
      <c r="D10" s="13" t="n">
        <f aca="false">B10*C10*12</f>
        <v>2100</v>
      </c>
      <c r="E10" s="22" t="n">
        <v>0.08</v>
      </c>
      <c r="F10" s="13" t="n">
        <f aca="false">D10*E10</f>
        <v>168</v>
      </c>
      <c r="G10" s="13" t="n">
        <f aca="false">D10+F10</f>
        <v>2268</v>
      </c>
      <c r="H10" s="13" t="n">
        <f aca="false">G10/12</f>
        <v>189</v>
      </c>
      <c r="I10" s="0" t="s">
        <v>185</v>
      </c>
    </row>
    <row r="11" customFormat="false" ht="15" hidden="false" customHeight="false" outlineLevel="0" collapsed="false">
      <c r="A11" s="0" t="s">
        <v>190</v>
      </c>
      <c r="B11" s="21" t="n">
        <v>6</v>
      </c>
      <c r="C11" s="21" t="n">
        <v>25</v>
      </c>
      <c r="D11" s="13" t="n">
        <f aca="false">B11*C11*12</f>
        <v>1800</v>
      </c>
      <c r="E11" s="22" t="n">
        <v>0.08</v>
      </c>
      <c r="F11" s="13" t="n">
        <f aca="false">D11*E11</f>
        <v>144</v>
      </c>
      <c r="G11" s="13" t="n">
        <f aca="false">D11+F11</f>
        <v>1944</v>
      </c>
      <c r="H11" s="13" t="n">
        <f aca="false">G11/12</f>
        <v>162</v>
      </c>
      <c r="I11" s="0" t="s">
        <v>185</v>
      </c>
    </row>
    <row r="12" customFormat="false" ht="15" hidden="false" customHeight="false" outlineLevel="0" collapsed="false">
      <c r="A12" s="0" t="s">
        <v>191</v>
      </c>
      <c r="B12" s="21" t="n">
        <v>18</v>
      </c>
      <c r="C12" s="21" t="n">
        <v>26</v>
      </c>
      <c r="D12" s="13" t="n">
        <f aca="false">B12*C12*12</f>
        <v>5616</v>
      </c>
      <c r="E12" s="22" t="n">
        <v>0.08</v>
      </c>
      <c r="F12" s="13" t="n">
        <f aca="false">D12*E12</f>
        <v>449.28</v>
      </c>
      <c r="G12" s="13" t="n">
        <f aca="false">D12+F12</f>
        <v>6065.28</v>
      </c>
      <c r="H12" s="13" t="n">
        <f aca="false">G12/12</f>
        <v>505.44</v>
      </c>
      <c r="I12" s="0" t="s">
        <v>185</v>
      </c>
    </row>
    <row r="13" customFormat="false" ht="15" hidden="false" customHeight="false" outlineLevel="0" collapsed="false">
      <c r="A13" s="17" t="s">
        <v>138</v>
      </c>
      <c r="B13" s="18" t="n">
        <f aca="false">SUM(B5:B12)</f>
        <v>113</v>
      </c>
      <c r="C13" s="18" t="n">
        <f aca="false">SUM(C5:C12)</f>
        <v>259</v>
      </c>
      <c r="D13" s="18" t="n">
        <f aca="false">SUM(D5:D12)</f>
        <v>44892</v>
      </c>
      <c r="E13" s="16" t="n">
        <f aca="false">SUM(E5:E12)</f>
        <v>0.7</v>
      </c>
      <c r="F13" s="18" t="n">
        <f aca="false">SUM(F5:F12)</f>
        <v>4145.28</v>
      </c>
      <c r="G13" s="18" t="n">
        <f aca="false">SUM(G5:G12)</f>
        <v>49037.28</v>
      </c>
      <c r="H13" s="18" t="n">
        <f aca="false">SUM(H5:H12)</f>
        <v>4086.44</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14" min="2" style="0" width="11"/>
  </cols>
  <sheetData>
    <row r="1" customFormat="false" ht="18.55" hidden="false" customHeight="false" outlineLevel="0" collapsed="false">
      <c r="A1" s="1" t="s">
        <v>192</v>
      </c>
      <c r="B1" s="1"/>
      <c r="C1" s="1"/>
      <c r="D1" s="1"/>
      <c r="E1" s="1"/>
      <c r="F1" s="1"/>
      <c r="G1" s="1"/>
      <c r="H1" s="1"/>
      <c r="I1" s="1"/>
      <c r="J1" s="1"/>
      <c r="K1" s="1"/>
      <c r="L1" s="1"/>
      <c r="M1" s="1"/>
      <c r="N1" s="1"/>
      <c r="O1" s="1"/>
    </row>
    <row r="2" customFormat="false" ht="15" hidden="false" customHeight="false" outlineLevel="0" collapsed="false">
      <c r="A2" s="2" t="s">
        <v>193</v>
      </c>
      <c r="B2" s="2"/>
      <c r="C2" s="2"/>
      <c r="D2" s="2"/>
      <c r="E2" s="2"/>
      <c r="F2" s="2"/>
      <c r="G2" s="2"/>
      <c r="H2" s="2"/>
      <c r="I2" s="2"/>
      <c r="J2" s="2"/>
      <c r="K2" s="2"/>
      <c r="L2" s="2"/>
      <c r="M2" s="2"/>
      <c r="N2" s="2"/>
      <c r="O2" s="2"/>
    </row>
    <row r="4" customFormat="false" ht="16.4" hidden="false" customHeight="false" outlineLevel="0" collapsed="false">
      <c r="A4" s="3" t="s">
        <v>194</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0" t="s">
        <v>195</v>
      </c>
      <c r="B5" s="12" t="n">
        <v>35000</v>
      </c>
      <c r="C5" s="12" t="n">
        <v>0</v>
      </c>
      <c r="D5" s="12" t="n">
        <v>0</v>
      </c>
      <c r="E5" s="12" t="n">
        <v>0</v>
      </c>
      <c r="F5" s="12" t="n">
        <v>0</v>
      </c>
      <c r="G5" s="12" t="n">
        <v>0</v>
      </c>
      <c r="H5" s="12" t="n">
        <v>0</v>
      </c>
      <c r="I5" s="12" t="n">
        <v>0</v>
      </c>
      <c r="J5" s="12" t="n">
        <v>0</v>
      </c>
      <c r="K5" s="12" t="n">
        <v>20000</v>
      </c>
      <c r="L5" s="12" t="n">
        <v>0</v>
      </c>
      <c r="M5" s="12" t="n">
        <v>0</v>
      </c>
      <c r="N5" s="13" t="n">
        <f aca="false">SUM(B5:M5)</f>
        <v>55000</v>
      </c>
    </row>
    <row r="6" customFormat="false" ht="15" hidden="false" customHeight="false" outlineLevel="0" collapsed="false">
      <c r="A6" s="0" t="s">
        <v>196</v>
      </c>
      <c r="B6" s="12" t="n">
        <v>0</v>
      </c>
      <c r="C6" s="12" t="n">
        <v>0</v>
      </c>
      <c r="D6" s="12" t="n">
        <v>3000</v>
      </c>
      <c r="E6" s="12" t="n">
        <v>0</v>
      </c>
      <c r="F6" s="12" t="n">
        <v>0</v>
      </c>
      <c r="G6" s="12" t="n">
        <v>3000</v>
      </c>
      <c r="H6" s="12" t="n">
        <v>0</v>
      </c>
      <c r="I6" s="12" t="n">
        <v>0</v>
      </c>
      <c r="J6" s="12" t="n">
        <v>3000</v>
      </c>
      <c r="K6" s="12" t="n">
        <v>0</v>
      </c>
      <c r="L6" s="12" t="n">
        <v>0</v>
      </c>
      <c r="M6" s="12" t="n">
        <v>3000</v>
      </c>
      <c r="N6" s="13" t="n">
        <f aca="false">SUM(B6:M6)</f>
        <v>12000</v>
      </c>
    </row>
    <row r="7" customFormat="false" ht="15" hidden="false" customHeight="false" outlineLevel="0" collapsed="false">
      <c r="A7" s="0" t="s">
        <v>197</v>
      </c>
      <c r="B7" s="12" t="n">
        <v>4000</v>
      </c>
      <c r="C7" s="12" t="n">
        <v>5000</v>
      </c>
      <c r="D7" s="12" t="n">
        <v>4000</v>
      </c>
      <c r="E7" s="12" t="n">
        <v>2000</v>
      </c>
      <c r="F7" s="12" t="n">
        <v>0</v>
      </c>
      <c r="G7" s="12" t="n">
        <v>0</v>
      </c>
      <c r="H7" s="12" t="n">
        <v>0</v>
      </c>
      <c r="I7" s="12" t="n">
        <v>0</v>
      </c>
      <c r="J7" s="12" t="n">
        <v>0</v>
      </c>
      <c r="K7" s="12" t="n">
        <v>0</v>
      </c>
      <c r="L7" s="12" t="n">
        <v>0</v>
      </c>
      <c r="M7" s="12" t="n">
        <v>0</v>
      </c>
      <c r="N7" s="13" t="n">
        <f aca="false">SUM(B7:M7)</f>
        <v>15000</v>
      </c>
    </row>
    <row r="8" customFormat="false" ht="15" hidden="false" customHeight="false" outlineLevel="0" collapsed="false">
      <c r="A8" s="0" t="s">
        <v>198</v>
      </c>
      <c r="B8" s="12" t="n">
        <v>1200</v>
      </c>
      <c r="C8" s="12" t="n">
        <v>1200</v>
      </c>
      <c r="D8" s="12" t="n">
        <v>1200</v>
      </c>
      <c r="E8" s="12" t="n">
        <v>1200</v>
      </c>
      <c r="F8" s="12" t="n">
        <v>1200</v>
      </c>
      <c r="G8" s="12" t="n">
        <v>1200</v>
      </c>
      <c r="H8" s="12" t="n">
        <v>1200</v>
      </c>
      <c r="I8" s="12" t="n">
        <v>1200</v>
      </c>
      <c r="J8" s="12" t="n">
        <v>1200</v>
      </c>
      <c r="K8" s="12" t="n">
        <v>1200</v>
      </c>
      <c r="L8" s="12" t="n">
        <v>1200</v>
      </c>
      <c r="M8" s="12" t="n">
        <v>1200</v>
      </c>
      <c r="N8" s="13" t="n">
        <f aca="false">SUM(B8:M8)</f>
        <v>14400</v>
      </c>
    </row>
    <row r="9" customFormat="false" ht="15" hidden="false" customHeight="false" outlineLevel="0" collapsed="false">
      <c r="A9" s="0" t="s">
        <v>199</v>
      </c>
      <c r="B9" s="12" t="n">
        <v>750</v>
      </c>
      <c r="C9" s="12" t="n">
        <v>750</v>
      </c>
      <c r="D9" s="12" t="n">
        <v>750</v>
      </c>
      <c r="E9" s="12" t="n">
        <v>750</v>
      </c>
      <c r="F9" s="12" t="n">
        <v>750</v>
      </c>
      <c r="G9" s="12" t="n">
        <v>750</v>
      </c>
      <c r="H9" s="12" t="n">
        <v>750</v>
      </c>
      <c r="I9" s="12" t="n">
        <v>750</v>
      </c>
      <c r="J9" s="12" t="n">
        <v>750</v>
      </c>
      <c r="K9" s="12" t="n">
        <v>750</v>
      </c>
      <c r="L9" s="12" t="n">
        <v>750</v>
      </c>
      <c r="M9" s="12" t="n">
        <v>750</v>
      </c>
      <c r="N9" s="13" t="n">
        <f aca="false">SUM(B9:M9)</f>
        <v>9000</v>
      </c>
    </row>
    <row r="10" customFormat="false" ht="15" hidden="false" customHeight="false" outlineLevel="0" collapsed="false">
      <c r="A10" s="17" t="s">
        <v>200</v>
      </c>
      <c r="B10" s="15" t="n">
        <f aca="false">SUM(B5:B9)</f>
        <v>40950</v>
      </c>
      <c r="C10" s="15" t="n">
        <f aca="false">SUM(C5:C9)</f>
        <v>6950</v>
      </c>
      <c r="D10" s="15" t="n">
        <f aca="false">SUM(D5:D9)</f>
        <v>8950</v>
      </c>
      <c r="E10" s="15" t="n">
        <f aca="false">SUM(E5:E9)</f>
        <v>3950</v>
      </c>
      <c r="F10" s="15" t="n">
        <f aca="false">SUM(F5:F9)</f>
        <v>1950</v>
      </c>
      <c r="G10" s="15" t="n">
        <f aca="false">SUM(G5:G9)</f>
        <v>4950</v>
      </c>
      <c r="H10" s="15" t="n">
        <f aca="false">SUM(H5:H9)</f>
        <v>1950</v>
      </c>
      <c r="I10" s="15" t="n">
        <f aca="false">SUM(I5:I9)</f>
        <v>1950</v>
      </c>
      <c r="J10" s="15" t="n">
        <f aca="false">SUM(J5:J9)</f>
        <v>4950</v>
      </c>
      <c r="K10" s="15" t="n">
        <f aca="false">SUM(K5:K9)</f>
        <v>21950</v>
      </c>
      <c r="L10" s="15" t="n">
        <f aca="false">SUM(L5:L9)</f>
        <v>1950</v>
      </c>
      <c r="M10" s="15" t="n">
        <f aca="false">SUM(M5:M9)</f>
        <v>4950</v>
      </c>
      <c r="N10" s="15" t="n">
        <f aca="false">SUM(N5:N9)</f>
        <v>105400</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14" min="2" style="0" width="11"/>
  </cols>
  <sheetData>
    <row r="1" customFormat="false" ht="18.55" hidden="false" customHeight="false" outlineLevel="0" collapsed="false">
      <c r="A1" s="1" t="s">
        <v>201</v>
      </c>
      <c r="B1" s="1"/>
      <c r="C1" s="1"/>
      <c r="D1" s="1"/>
      <c r="E1" s="1"/>
      <c r="F1" s="1"/>
      <c r="G1" s="1"/>
      <c r="H1" s="1"/>
      <c r="I1" s="1"/>
      <c r="J1" s="1"/>
      <c r="K1" s="1"/>
      <c r="L1" s="1"/>
      <c r="M1" s="1"/>
      <c r="N1" s="1"/>
      <c r="O1" s="1"/>
    </row>
    <row r="2" customFormat="false" ht="15" hidden="false" customHeight="false" outlineLevel="0" collapsed="false">
      <c r="A2" s="2" t="s">
        <v>202</v>
      </c>
      <c r="B2" s="2"/>
      <c r="C2" s="2"/>
      <c r="D2" s="2"/>
      <c r="E2" s="2"/>
      <c r="F2" s="2"/>
      <c r="G2" s="2"/>
      <c r="H2" s="2"/>
      <c r="I2" s="2"/>
      <c r="J2" s="2"/>
      <c r="K2" s="2"/>
      <c r="L2" s="2"/>
      <c r="M2" s="2"/>
      <c r="N2" s="2"/>
      <c r="O2" s="2"/>
    </row>
    <row r="4" customFormat="false" ht="16.4" hidden="false" customHeight="false" outlineLevel="0" collapsed="false">
      <c r="A4" s="3" t="s">
        <v>203</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5" t="s">
        <v>103</v>
      </c>
      <c r="B5" s="19"/>
      <c r="C5" s="19"/>
      <c r="D5" s="19"/>
      <c r="E5" s="19"/>
      <c r="F5" s="19"/>
      <c r="G5" s="19"/>
      <c r="H5" s="19"/>
      <c r="I5" s="19"/>
      <c r="J5" s="19"/>
      <c r="K5" s="19"/>
      <c r="L5" s="19"/>
      <c r="M5" s="19"/>
      <c r="N5" s="19"/>
    </row>
    <row r="6" customFormat="false" ht="15" hidden="false" customHeight="false" outlineLevel="0" collapsed="false">
      <c r="A6" s="0" t="s">
        <v>204</v>
      </c>
      <c r="B6" s="21" t="n">
        <v>180000</v>
      </c>
      <c r="C6" s="13" t="n">
        <f aca="false">B11</f>
        <v>185787.639</v>
      </c>
      <c r="D6" s="13" t="n">
        <f aca="false">C11</f>
        <v>190748.322</v>
      </c>
      <c r="E6" s="13" t="n">
        <f aca="false">D11</f>
        <v>196417.674</v>
      </c>
      <c r="F6" s="13" t="n">
        <f aca="false">E11</f>
        <v>202087.026</v>
      </c>
      <c r="G6" s="13" t="n">
        <f aca="false">F11</f>
        <v>208465.047</v>
      </c>
      <c r="H6" s="13" t="n">
        <f aca="false">G11</f>
        <v>214843.068</v>
      </c>
      <c r="I6" s="13" t="n">
        <f aca="false">H11</f>
        <v>220394.133</v>
      </c>
      <c r="J6" s="13" t="n">
        <f aca="false">I11</f>
        <v>227480.823</v>
      </c>
      <c r="K6" s="13" t="n">
        <f aca="false">J11</f>
        <v>235394.469</v>
      </c>
      <c r="L6" s="13" t="n">
        <f aca="false">K11</f>
        <v>237772.49</v>
      </c>
      <c r="M6" s="13" t="n">
        <f aca="false">L11</f>
        <v>239441.842</v>
      </c>
      <c r="N6" s="13" t="n">
        <f aca="false">SUM(B6:M6)</f>
        <v>2538832.533</v>
      </c>
    </row>
    <row r="7" customFormat="false" ht="15" hidden="false" customHeight="false" outlineLevel="0" collapsed="false">
      <c r="A7" s="0" t="s">
        <v>205</v>
      </c>
      <c r="B7" s="13" t="n">
        <f aca="false">MAX(0,99_Helper!B11-99_Helper!B10)*0.45</f>
        <v>5787.639</v>
      </c>
      <c r="C7" s="13" t="n">
        <f aca="false">MAX(0,99_Helper!C11-99_Helper!C10)*0.45</f>
        <v>4960.683</v>
      </c>
      <c r="D7" s="13" t="n">
        <f aca="false">MAX(0,99_Helper!D11-99_Helper!D10)*0.45</f>
        <v>5669.352</v>
      </c>
      <c r="E7" s="13" t="n">
        <f aca="false">MAX(0,99_Helper!E11-99_Helper!E10)*0.45</f>
        <v>5669.352</v>
      </c>
      <c r="F7" s="13" t="n">
        <f aca="false">MAX(0,99_Helper!F11-99_Helper!F10)*0.45</f>
        <v>6378.021</v>
      </c>
      <c r="G7" s="13" t="n">
        <f aca="false">MAX(0,99_Helper!G11-99_Helper!G10)*0.45</f>
        <v>6378.021</v>
      </c>
      <c r="H7" s="13" t="n">
        <f aca="false">MAX(0,99_Helper!H11-99_Helper!H10)*0.45</f>
        <v>5551.065</v>
      </c>
      <c r="I7" s="13" t="n">
        <f aca="false">MAX(0,99_Helper!I11-99_Helper!I10)*0.45</f>
        <v>7086.69</v>
      </c>
      <c r="J7" s="13" t="n">
        <f aca="false">MAX(0,99_Helper!J11-99_Helper!J10)*0.45</f>
        <v>7913.646</v>
      </c>
      <c r="K7" s="13" t="n">
        <f aca="false">MAX(0,99_Helper!K11-99_Helper!K10)*0.45</f>
        <v>6378.021</v>
      </c>
      <c r="L7" s="13" t="n">
        <f aca="false">MAX(0,99_Helper!L11-99_Helper!L10)*0.45</f>
        <v>5669.352</v>
      </c>
      <c r="M7" s="13" t="n">
        <f aca="false">MAX(0,99_Helper!M11-99_Helper!M10)*0.45</f>
        <v>3425.058</v>
      </c>
      <c r="N7" s="13" t="n">
        <f aca="false">SUM(B7:M7)</f>
        <v>70866.9</v>
      </c>
    </row>
    <row r="8" customFormat="false" ht="15" hidden="false" customHeight="false" outlineLevel="0" collapsed="false">
      <c r="A8" s="0" t="s">
        <v>206</v>
      </c>
      <c r="B8" s="13" t="n">
        <f aca="false">B6*'02 Budget Assumptions'!$G$35 / 12</f>
        <v>1065</v>
      </c>
      <c r="C8" s="13" t="n">
        <f aca="false">C6*'02 Budget Assumptions'!$G$35 / 12</f>
        <v>1099.24353075</v>
      </c>
      <c r="D8" s="13" t="n">
        <f aca="false">D6*'02 Budget Assumptions'!$G$35 / 12</f>
        <v>1128.5942385</v>
      </c>
      <c r="E8" s="13" t="n">
        <f aca="false">E6*'02 Budget Assumptions'!$G$35 / 12</f>
        <v>1162.1379045</v>
      </c>
      <c r="F8" s="13" t="n">
        <f aca="false">F6*'02 Budget Assumptions'!$G$35 / 12</f>
        <v>1195.6815705</v>
      </c>
      <c r="G8" s="13" t="n">
        <f aca="false">G6*'02 Budget Assumptions'!$G$35 / 12</f>
        <v>1233.41819475</v>
      </c>
      <c r="H8" s="13" t="n">
        <f aca="false">H6*'02 Budget Assumptions'!$G$35 / 12</f>
        <v>1271.154819</v>
      </c>
      <c r="I8" s="13" t="n">
        <f aca="false">I6*'02 Budget Assumptions'!$G$35 / 12</f>
        <v>1303.99862025</v>
      </c>
      <c r="J8" s="13" t="n">
        <f aca="false">J6*'02 Budget Assumptions'!$G$35 / 12</f>
        <v>1345.92820275</v>
      </c>
      <c r="K8" s="13" t="n">
        <f aca="false">K6*'02 Budget Assumptions'!$G$35 / 12</f>
        <v>1392.75060825</v>
      </c>
      <c r="L8" s="13" t="n">
        <f aca="false">L6*'02 Budget Assumptions'!$G$35 / 12</f>
        <v>1406.82056583333</v>
      </c>
      <c r="M8" s="13" t="n">
        <f aca="false">M6*'02 Budget Assumptions'!$G$35 / 12</f>
        <v>1416.69756516667</v>
      </c>
      <c r="N8" s="13" t="n">
        <f aca="false">SUM(B8:M8)</f>
        <v>15021.42582025</v>
      </c>
    </row>
    <row r="9" customFormat="false" ht="15" hidden="false" customHeight="false" outlineLevel="0" collapsed="false">
      <c r="A9" s="0" t="s">
        <v>207</v>
      </c>
      <c r="B9" s="13" t="n">
        <f aca="false">B8</f>
        <v>1065</v>
      </c>
      <c r="C9" s="13" t="n">
        <f aca="false">C8</f>
        <v>1099.24353075</v>
      </c>
      <c r="D9" s="13" t="n">
        <f aca="false">D8</f>
        <v>1128.5942385</v>
      </c>
      <c r="E9" s="13" t="n">
        <f aca="false">E8</f>
        <v>1162.1379045</v>
      </c>
      <c r="F9" s="13" t="n">
        <f aca="false">F8</f>
        <v>1195.6815705</v>
      </c>
      <c r="G9" s="13" t="n">
        <f aca="false">G8</f>
        <v>1233.41819475</v>
      </c>
      <c r="H9" s="13" t="n">
        <f aca="false">H8</f>
        <v>1271.154819</v>
      </c>
      <c r="I9" s="13" t="n">
        <f aca="false">I8</f>
        <v>1303.99862025</v>
      </c>
      <c r="J9" s="13" t="n">
        <f aca="false">J8</f>
        <v>1345.92820275</v>
      </c>
      <c r="K9" s="13" t="n">
        <f aca="false">K8</f>
        <v>1392.75060825</v>
      </c>
      <c r="L9" s="13" t="n">
        <f aca="false">L8</f>
        <v>1406.82056583333</v>
      </c>
      <c r="M9" s="13" t="n">
        <f aca="false">M8</f>
        <v>1416.69756516667</v>
      </c>
      <c r="N9" s="13" t="n">
        <f aca="false">SUM(B9:M9)</f>
        <v>15021.42582025</v>
      </c>
    </row>
    <row r="10" customFormat="false" ht="15" hidden="false" customHeight="false" outlineLevel="0" collapsed="false">
      <c r="A10" s="0" t="s">
        <v>208</v>
      </c>
      <c r="B10" s="12" t="n">
        <v>0</v>
      </c>
      <c r="C10" s="12" t="n">
        <v>0</v>
      </c>
      <c r="D10" s="12" t="n">
        <v>0</v>
      </c>
      <c r="E10" s="12" t="n">
        <v>0</v>
      </c>
      <c r="F10" s="12" t="n">
        <v>0</v>
      </c>
      <c r="G10" s="12" t="n">
        <v>0</v>
      </c>
      <c r="H10" s="12" t="n">
        <v>0</v>
      </c>
      <c r="I10" s="12" t="n">
        <v>0</v>
      </c>
      <c r="J10" s="12" t="n">
        <v>0</v>
      </c>
      <c r="K10" s="12" t="n">
        <v>4000</v>
      </c>
      <c r="L10" s="12" t="n">
        <v>4000</v>
      </c>
      <c r="M10" s="12" t="n">
        <v>4000</v>
      </c>
      <c r="N10" s="13" t="n">
        <f aca="false">SUM(B10:M10)</f>
        <v>12000</v>
      </c>
    </row>
    <row r="11" customFormat="false" ht="15" hidden="false" customHeight="false" outlineLevel="0" collapsed="false">
      <c r="A11" s="0" t="s">
        <v>209</v>
      </c>
      <c r="B11" s="13" t="n">
        <f aca="false">B6+B7+B8-B9-B10</f>
        <v>185787.639</v>
      </c>
      <c r="C11" s="13" t="n">
        <f aca="false">C6+C7+C8-C9-C10</f>
        <v>190748.322</v>
      </c>
      <c r="D11" s="13" t="n">
        <f aca="false">D6+D7+D8-D9-D10</f>
        <v>196417.674</v>
      </c>
      <c r="E11" s="13" t="n">
        <f aca="false">E6+E7+E8-E9-E10</f>
        <v>202087.026</v>
      </c>
      <c r="F11" s="13" t="n">
        <f aca="false">F6+F7+F8-F9-F10</f>
        <v>208465.047</v>
      </c>
      <c r="G11" s="13" t="n">
        <f aca="false">G6+G7+G8-G9-G10</f>
        <v>214843.068</v>
      </c>
      <c r="H11" s="13" t="n">
        <f aca="false">H6+H7+H8-H9-H10</f>
        <v>220394.133</v>
      </c>
      <c r="I11" s="13" t="n">
        <f aca="false">I6+I7+I8-I9-I10</f>
        <v>227480.823</v>
      </c>
      <c r="J11" s="13" t="n">
        <f aca="false">J6+J7+J8-J9-J10</f>
        <v>235394.469</v>
      </c>
      <c r="K11" s="13" t="n">
        <f aca="false">K6+K7+K8-K9-K10</f>
        <v>237772.49</v>
      </c>
      <c r="L11" s="13" t="n">
        <f aca="false">L6+L7+L8-L9-L10</f>
        <v>239441.842</v>
      </c>
      <c r="M11" s="13" t="n">
        <f aca="false">M6+M7+M8-M9-M10</f>
        <v>238866.9</v>
      </c>
      <c r="N11" s="18" t="n">
        <f aca="false">SUM(B11:M11)</f>
        <v>2597699.433</v>
      </c>
    </row>
    <row r="14" customFormat="false" ht="15" hidden="false" customHeight="false" outlineLevel="0" collapsed="false">
      <c r="A14" s="5" t="s">
        <v>105</v>
      </c>
      <c r="B14" s="19"/>
      <c r="C14" s="19"/>
      <c r="D14" s="19"/>
      <c r="E14" s="19"/>
      <c r="F14" s="19"/>
      <c r="G14" s="19"/>
      <c r="H14" s="19"/>
      <c r="I14" s="19"/>
      <c r="J14" s="19"/>
      <c r="K14" s="19"/>
      <c r="L14" s="19"/>
      <c r="M14" s="19"/>
      <c r="N14" s="19"/>
    </row>
    <row r="15" customFormat="false" ht="15" hidden="false" customHeight="false" outlineLevel="0" collapsed="false">
      <c r="A15" s="0" t="s">
        <v>204</v>
      </c>
      <c r="B15" s="21" t="n">
        <v>140000</v>
      </c>
      <c r="C15" s="13" t="n">
        <f aca="false">B20</f>
        <v>144205.196</v>
      </c>
      <c r="D15" s="13" t="n">
        <f aca="false">C20</f>
        <v>147854.408</v>
      </c>
      <c r="E15" s="13" t="n">
        <f aca="false">D20</f>
        <v>152024.936</v>
      </c>
      <c r="F15" s="13" t="n">
        <f aca="false">E20</f>
        <v>156195.464</v>
      </c>
      <c r="G15" s="13" t="n">
        <f aca="false">F20</f>
        <v>160887.308</v>
      </c>
      <c r="H15" s="13" t="n">
        <f aca="false">G20</f>
        <v>165579.152</v>
      </c>
      <c r="I15" s="13" t="n">
        <f aca="false">H20</f>
        <v>169715.012</v>
      </c>
      <c r="J15" s="13" t="n">
        <f aca="false">I20</f>
        <v>174928.172</v>
      </c>
      <c r="K15" s="13" t="n">
        <f aca="false">J20</f>
        <v>180697.316</v>
      </c>
      <c r="L15" s="13" t="n">
        <f aca="false">K20</f>
        <v>181389.16</v>
      </c>
      <c r="M15" s="13" t="n">
        <f aca="false">L20</f>
        <v>181559.688</v>
      </c>
      <c r="N15" s="13" t="n">
        <f aca="false">SUM(B15:M15)</f>
        <v>1955035.812</v>
      </c>
    </row>
    <row r="16" customFormat="false" ht="15" hidden="false" customHeight="false" outlineLevel="0" collapsed="false">
      <c r="A16" s="0" t="s">
        <v>205</v>
      </c>
      <c r="B16" s="13" t="n">
        <f aca="false">MAX(0,99_Helper!B20-99_Helper!B19)*0.45</f>
        <v>4205.196</v>
      </c>
      <c r="C16" s="13" t="n">
        <f aca="false">MAX(0,99_Helper!C20-99_Helper!C19)*0.45</f>
        <v>3649.212</v>
      </c>
      <c r="D16" s="13" t="n">
        <f aca="false">MAX(0,99_Helper!D20-99_Helper!D19)*0.45</f>
        <v>4170.528</v>
      </c>
      <c r="E16" s="13" t="n">
        <f aca="false">MAX(0,99_Helper!E20-99_Helper!E19)*0.45</f>
        <v>4170.528</v>
      </c>
      <c r="F16" s="13" t="n">
        <f aca="false">MAX(0,99_Helper!F20-99_Helper!F19)*0.45</f>
        <v>4691.844</v>
      </c>
      <c r="G16" s="13" t="n">
        <f aca="false">MAX(0,99_Helper!G20-99_Helper!G19)*0.45</f>
        <v>4691.844</v>
      </c>
      <c r="H16" s="13" t="n">
        <f aca="false">MAX(0,99_Helper!H20-99_Helper!H19)*0.45</f>
        <v>4135.86</v>
      </c>
      <c r="I16" s="13" t="n">
        <f aca="false">MAX(0,99_Helper!I20-99_Helper!I19)*0.45</f>
        <v>5213.16</v>
      </c>
      <c r="J16" s="13" t="n">
        <f aca="false">MAX(0,99_Helper!J20-99_Helper!J19)*0.45</f>
        <v>5769.144</v>
      </c>
      <c r="K16" s="13" t="n">
        <f aca="false">MAX(0,99_Helper!K20-99_Helper!K19)*0.45</f>
        <v>4691.844</v>
      </c>
      <c r="L16" s="13" t="n">
        <f aca="false">MAX(0,99_Helper!L20-99_Helper!L19)*0.45</f>
        <v>4170.528</v>
      </c>
      <c r="M16" s="13" t="n">
        <f aca="false">MAX(0,99_Helper!M20-99_Helper!M19)*0.45</f>
        <v>2571.912</v>
      </c>
      <c r="N16" s="13" t="n">
        <f aca="false">SUM(B16:M16)</f>
        <v>52131.6</v>
      </c>
    </row>
    <row r="17" customFormat="false" ht="15" hidden="false" customHeight="false" outlineLevel="0" collapsed="false">
      <c r="A17" s="0" t="s">
        <v>206</v>
      </c>
      <c r="B17" s="13" t="n">
        <f aca="false">B15*'02 Budget Assumptions'!$G$36 / 12</f>
        <v>793.333333333333</v>
      </c>
      <c r="C17" s="13" t="n">
        <f aca="false">C15*'02 Budget Assumptions'!$G$36 / 12</f>
        <v>817.162777333333</v>
      </c>
      <c r="D17" s="13" t="n">
        <f aca="false">D15*'02 Budget Assumptions'!$G$36 / 12</f>
        <v>837.841645333333</v>
      </c>
      <c r="E17" s="13" t="n">
        <f aca="false">E15*'02 Budget Assumptions'!$G$36 / 12</f>
        <v>861.474637333333</v>
      </c>
      <c r="F17" s="13" t="n">
        <f aca="false">F15*'02 Budget Assumptions'!$G$36 / 12</f>
        <v>885.107629333333</v>
      </c>
      <c r="G17" s="13" t="n">
        <f aca="false">G15*'02 Budget Assumptions'!$G$36 / 12</f>
        <v>911.694745333333</v>
      </c>
      <c r="H17" s="13" t="n">
        <f aca="false">H15*'02 Budget Assumptions'!$G$36 / 12</f>
        <v>938.281861333333</v>
      </c>
      <c r="I17" s="13" t="n">
        <f aca="false">I15*'02 Budget Assumptions'!$G$36 / 12</f>
        <v>961.718401333333</v>
      </c>
      <c r="J17" s="13" t="n">
        <f aca="false">J15*'02 Budget Assumptions'!$G$36 / 12</f>
        <v>991.259641333333</v>
      </c>
      <c r="K17" s="13" t="n">
        <f aca="false">K15*'02 Budget Assumptions'!$G$36 / 12</f>
        <v>1023.95145733333</v>
      </c>
      <c r="L17" s="13" t="n">
        <f aca="false">L15*'02 Budget Assumptions'!$G$36 / 12</f>
        <v>1027.87190666667</v>
      </c>
      <c r="M17" s="13" t="n">
        <f aca="false">M15*'02 Budget Assumptions'!$G$36 / 12</f>
        <v>1028.838232</v>
      </c>
      <c r="N17" s="13" t="n">
        <f aca="false">SUM(B17:M17)</f>
        <v>11078.536268</v>
      </c>
    </row>
    <row r="18" customFormat="false" ht="15" hidden="false" customHeight="false" outlineLevel="0" collapsed="false">
      <c r="A18" s="0" t="s">
        <v>207</v>
      </c>
      <c r="B18" s="13" t="n">
        <f aca="false">B17</f>
        <v>793.333333333333</v>
      </c>
      <c r="C18" s="13" t="n">
        <f aca="false">C17</f>
        <v>817.162777333333</v>
      </c>
      <c r="D18" s="13" t="n">
        <f aca="false">D17</f>
        <v>837.841645333333</v>
      </c>
      <c r="E18" s="13" t="n">
        <f aca="false">E17</f>
        <v>861.474637333333</v>
      </c>
      <c r="F18" s="13" t="n">
        <f aca="false">F17</f>
        <v>885.107629333333</v>
      </c>
      <c r="G18" s="13" t="n">
        <f aca="false">G17</f>
        <v>911.694745333333</v>
      </c>
      <c r="H18" s="13" t="n">
        <f aca="false">H17</f>
        <v>938.281861333333</v>
      </c>
      <c r="I18" s="13" t="n">
        <f aca="false">I17</f>
        <v>961.718401333333</v>
      </c>
      <c r="J18" s="13" t="n">
        <f aca="false">J17</f>
        <v>991.259641333333</v>
      </c>
      <c r="K18" s="13" t="n">
        <f aca="false">K17</f>
        <v>1023.95145733333</v>
      </c>
      <c r="L18" s="13" t="n">
        <f aca="false">L17</f>
        <v>1027.87190666667</v>
      </c>
      <c r="M18" s="13" t="n">
        <f aca="false">M17</f>
        <v>1028.838232</v>
      </c>
      <c r="N18" s="13" t="n">
        <f aca="false">SUM(B18:M18)</f>
        <v>11078.536268</v>
      </c>
    </row>
    <row r="19" customFormat="false" ht="15" hidden="false" customHeight="false" outlineLevel="0" collapsed="false">
      <c r="A19" s="0" t="s">
        <v>208</v>
      </c>
      <c r="B19" s="12" t="n">
        <v>0</v>
      </c>
      <c r="C19" s="12" t="n">
        <v>0</v>
      </c>
      <c r="D19" s="12" t="n">
        <v>0</v>
      </c>
      <c r="E19" s="12" t="n">
        <v>0</v>
      </c>
      <c r="F19" s="12" t="n">
        <v>0</v>
      </c>
      <c r="G19" s="12" t="n">
        <v>0</v>
      </c>
      <c r="H19" s="12" t="n">
        <v>0</v>
      </c>
      <c r="I19" s="12" t="n">
        <v>0</v>
      </c>
      <c r="J19" s="12" t="n">
        <v>0</v>
      </c>
      <c r="K19" s="12" t="n">
        <v>4000</v>
      </c>
      <c r="L19" s="12" t="n">
        <v>4000</v>
      </c>
      <c r="M19" s="12" t="n">
        <v>4000</v>
      </c>
      <c r="N19" s="13" t="n">
        <f aca="false">SUM(B19:M19)</f>
        <v>12000</v>
      </c>
    </row>
    <row r="20" customFormat="false" ht="15" hidden="false" customHeight="false" outlineLevel="0" collapsed="false">
      <c r="A20" s="0" t="s">
        <v>209</v>
      </c>
      <c r="B20" s="13" t="n">
        <f aca="false">B15+B16+B17-B18-B19</f>
        <v>144205.196</v>
      </c>
      <c r="C20" s="13" t="n">
        <f aca="false">C15+C16+C17-C18-C19</f>
        <v>147854.408</v>
      </c>
      <c r="D20" s="13" t="n">
        <f aca="false">D15+D16+D17-D18-D19</f>
        <v>152024.936</v>
      </c>
      <c r="E20" s="13" t="n">
        <f aca="false">E15+E16+E17-E18-E19</f>
        <v>156195.464</v>
      </c>
      <c r="F20" s="13" t="n">
        <f aca="false">F15+F16+F17-F18-F19</f>
        <v>160887.308</v>
      </c>
      <c r="G20" s="13" t="n">
        <f aca="false">G15+G16+G17-G18-G19</f>
        <v>165579.152</v>
      </c>
      <c r="H20" s="13" t="n">
        <f aca="false">H15+H16+H17-H18-H19</f>
        <v>169715.012</v>
      </c>
      <c r="I20" s="13" t="n">
        <f aca="false">I15+I16+I17-I18-I19</f>
        <v>174928.172</v>
      </c>
      <c r="J20" s="13" t="n">
        <f aca="false">J15+J16+J17-J18-J19</f>
        <v>180697.316</v>
      </c>
      <c r="K20" s="13" t="n">
        <f aca="false">K15+K16+K17-K18-K19</f>
        <v>181389.16</v>
      </c>
      <c r="L20" s="13" t="n">
        <f aca="false">L15+L16+L17-L18-L19</f>
        <v>181559.688</v>
      </c>
      <c r="M20" s="13" t="n">
        <f aca="false">M15+M16+M17-M18-M19</f>
        <v>180131.6</v>
      </c>
      <c r="N20" s="18" t="n">
        <f aca="false">SUM(B20:M20)</f>
        <v>1995167.412</v>
      </c>
    </row>
    <row r="23" customFormat="false" ht="15" hidden="false" customHeight="false" outlineLevel="0" collapsed="false">
      <c r="A23" s="5" t="s">
        <v>107</v>
      </c>
      <c r="B23" s="19"/>
      <c r="C23" s="19"/>
      <c r="D23" s="19"/>
      <c r="E23" s="19"/>
      <c r="F23" s="19"/>
      <c r="G23" s="19"/>
      <c r="H23" s="19"/>
      <c r="I23" s="19"/>
      <c r="J23" s="19"/>
      <c r="K23" s="19"/>
      <c r="L23" s="19"/>
      <c r="M23" s="19"/>
      <c r="N23" s="19"/>
    </row>
    <row r="24" customFormat="false" ht="15" hidden="false" customHeight="false" outlineLevel="0" collapsed="false">
      <c r="A24" s="0" t="s">
        <v>204</v>
      </c>
      <c r="B24" s="21" t="n">
        <v>125000</v>
      </c>
      <c r="C24" s="13" t="n">
        <f aca="false">B29</f>
        <v>130009.04</v>
      </c>
      <c r="D24" s="13" t="n">
        <f aca="false">C29</f>
        <v>134496.845</v>
      </c>
      <c r="E24" s="13" t="n">
        <f aca="false">D29</f>
        <v>139625.765</v>
      </c>
      <c r="F24" s="13" t="n">
        <f aca="false">E29</f>
        <v>144754.685</v>
      </c>
      <c r="G24" s="13" t="n">
        <f aca="false">F29</f>
        <v>150524.72</v>
      </c>
      <c r="H24" s="13" t="n">
        <f aca="false">G29</f>
        <v>156294.755</v>
      </c>
      <c r="I24" s="13" t="n">
        <f aca="false">H29</f>
        <v>161543.555</v>
      </c>
      <c r="J24" s="13" t="n">
        <f aca="false">I29</f>
        <v>167954.705</v>
      </c>
      <c r="K24" s="13" t="n">
        <f aca="false">J29</f>
        <v>174887.09</v>
      </c>
      <c r="L24" s="13" t="n">
        <f aca="false">K29</f>
        <v>176657.125</v>
      </c>
      <c r="M24" s="13" t="n">
        <f aca="false">L29</f>
        <v>177786.045</v>
      </c>
      <c r="N24" s="13" t="n">
        <f aca="false">SUM(B24:M24)</f>
        <v>1839534.33</v>
      </c>
    </row>
    <row r="25" customFormat="false" ht="15" hidden="false" customHeight="false" outlineLevel="0" collapsed="false">
      <c r="A25" s="0" t="s">
        <v>205</v>
      </c>
      <c r="B25" s="13" t="n">
        <f aca="false">MAX(0,99_Helper!B29-99_Helper!B28)*0.45</f>
        <v>5009.04</v>
      </c>
      <c r="C25" s="13" t="n">
        <f aca="false">MAX(0,99_Helper!C29-99_Helper!C28)*0.45</f>
        <v>4487.805</v>
      </c>
      <c r="D25" s="13" t="n">
        <f aca="false">MAX(0,99_Helper!D29-99_Helper!D28)*0.45</f>
        <v>5128.92</v>
      </c>
      <c r="E25" s="13" t="n">
        <f aca="false">MAX(0,99_Helper!E29-99_Helper!E28)*0.45</f>
        <v>5128.92</v>
      </c>
      <c r="F25" s="13" t="n">
        <f aca="false">MAX(0,99_Helper!F29-99_Helper!F28)*0.45</f>
        <v>5770.035</v>
      </c>
      <c r="G25" s="13" t="n">
        <f aca="false">MAX(0,99_Helper!G29-99_Helper!G28)*0.45</f>
        <v>5770.035</v>
      </c>
      <c r="H25" s="13" t="n">
        <f aca="false">MAX(0,99_Helper!H29-99_Helper!H28)*0.45</f>
        <v>5248.8</v>
      </c>
      <c r="I25" s="13" t="n">
        <f aca="false">MAX(0,99_Helper!I29-99_Helper!I28)*0.45</f>
        <v>6411.15</v>
      </c>
      <c r="J25" s="13" t="n">
        <f aca="false">MAX(0,99_Helper!J29-99_Helper!J28)*0.45</f>
        <v>6932.385</v>
      </c>
      <c r="K25" s="13" t="n">
        <f aca="false">MAX(0,99_Helper!K29-99_Helper!K28)*0.45</f>
        <v>5770.035</v>
      </c>
      <c r="L25" s="13" t="n">
        <f aca="false">MAX(0,99_Helper!L29-99_Helper!L28)*0.45</f>
        <v>5128.92</v>
      </c>
      <c r="M25" s="13" t="n">
        <f aca="false">MAX(0,99_Helper!M29-99_Helper!M28)*0.45</f>
        <v>3325.455</v>
      </c>
      <c r="N25" s="13" t="n">
        <f aca="false">SUM(B25:M25)</f>
        <v>64111.5</v>
      </c>
    </row>
    <row r="26" customFormat="false" ht="15" hidden="false" customHeight="false" outlineLevel="0" collapsed="false">
      <c r="A26" s="0" t="s">
        <v>206</v>
      </c>
      <c r="B26" s="13" t="n">
        <f aca="false">B24*'02 Budget Assumptions'!$G$37 / 12</f>
        <v>723.958333333333</v>
      </c>
      <c r="C26" s="13" t="n">
        <f aca="false">C24*'02 Budget Assumptions'!$G$37 / 12</f>
        <v>752.969023333333</v>
      </c>
      <c r="D26" s="13" t="n">
        <f aca="false">D24*'02 Budget Assumptions'!$G$37 / 12</f>
        <v>778.960893958334</v>
      </c>
      <c r="E26" s="13" t="n">
        <f aca="false">E24*'02 Budget Assumptions'!$G$37 / 12</f>
        <v>808.665888958334</v>
      </c>
      <c r="F26" s="13" t="n">
        <f aca="false">F24*'02 Budget Assumptions'!$G$37 / 12</f>
        <v>838.370883958334</v>
      </c>
      <c r="G26" s="13" t="n">
        <f aca="false">G24*'02 Budget Assumptions'!$G$37 / 12</f>
        <v>871.789003333334</v>
      </c>
      <c r="H26" s="13" t="n">
        <f aca="false">H24*'02 Budget Assumptions'!$G$37 / 12</f>
        <v>905.207122708334</v>
      </c>
      <c r="I26" s="13" t="n">
        <f aca="false">I24*'02 Budget Assumptions'!$G$37 / 12</f>
        <v>935.606422708334</v>
      </c>
      <c r="J26" s="13" t="n">
        <f aca="false">J24*'02 Budget Assumptions'!$G$37 / 12</f>
        <v>972.737666458334</v>
      </c>
      <c r="K26" s="13" t="n">
        <f aca="false">K24*'02 Budget Assumptions'!$G$37 / 12</f>
        <v>1012.88772958333</v>
      </c>
      <c r="L26" s="13" t="n">
        <f aca="false">L24*'02 Budget Assumptions'!$G$37 / 12</f>
        <v>1023.13918229167</v>
      </c>
      <c r="M26" s="13" t="n">
        <f aca="false">M24*'02 Budget Assumptions'!$G$37 / 12</f>
        <v>1029.677510625</v>
      </c>
      <c r="N26" s="13" t="n">
        <f aca="false">SUM(B26:M26)</f>
        <v>10653.96966125</v>
      </c>
    </row>
    <row r="27" customFormat="false" ht="15" hidden="false" customHeight="false" outlineLevel="0" collapsed="false">
      <c r="A27" s="0" t="s">
        <v>207</v>
      </c>
      <c r="B27" s="13" t="n">
        <f aca="false">B26</f>
        <v>723.958333333333</v>
      </c>
      <c r="C27" s="13" t="n">
        <f aca="false">C26</f>
        <v>752.969023333333</v>
      </c>
      <c r="D27" s="13" t="n">
        <f aca="false">D26</f>
        <v>778.960893958334</v>
      </c>
      <c r="E27" s="13" t="n">
        <f aca="false">E26</f>
        <v>808.665888958334</v>
      </c>
      <c r="F27" s="13" t="n">
        <f aca="false">F26</f>
        <v>838.370883958334</v>
      </c>
      <c r="G27" s="13" t="n">
        <f aca="false">G26</f>
        <v>871.789003333334</v>
      </c>
      <c r="H27" s="13" t="n">
        <f aca="false">H26</f>
        <v>905.207122708334</v>
      </c>
      <c r="I27" s="13" t="n">
        <f aca="false">I26</f>
        <v>935.606422708334</v>
      </c>
      <c r="J27" s="13" t="n">
        <f aca="false">J26</f>
        <v>972.737666458334</v>
      </c>
      <c r="K27" s="13" t="n">
        <f aca="false">K26</f>
        <v>1012.88772958333</v>
      </c>
      <c r="L27" s="13" t="n">
        <f aca="false">L26</f>
        <v>1023.13918229167</v>
      </c>
      <c r="M27" s="13" t="n">
        <f aca="false">M26</f>
        <v>1029.677510625</v>
      </c>
      <c r="N27" s="13" t="n">
        <f aca="false">SUM(B27:M27)</f>
        <v>10653.96966125</v>
      </c>
    </row>
    <row r="28" customFormat="false" ht="15" hidden="false" customHeight="false" outlineLevel="0" collapsed="false">
      <c r="A28" s="0" t="s">
        <v>208</v>
      </c>
      <c r="B28" s="12" t="n">
        <v>0</v>
      </c>
      <c r="C28" s="12" t="n">
        <v>0</v>
      </c>
      <c r="D28" s="12" t="n">
        <v>0</v>
      </c>
      <c r="E28" s="12" t="n">
        <v>0</v>
      </c>
      <c r="F28" s="12" t="n">
        <v>0</v>
      </c>
      <c r="G28" s="12" t="n">
        <v>0</v>
      </c>
      <c r="H28" s="12" t="n">
        <v>0</v>
      </c>
      <c r="I28" s="12" t="n">
        <v>0</v>
      </c>
      <c r="J28" s="12" t="n">
        <v>0</v>
      </c>
      <c r="K28" s="12" t="n">
        <v>4000</v>
      </c>
      <c r="L28" s="12" t="n">
        <v>4000</v>
      </c>
      <c r="M28" s="12" t="n">
        <v>4000</v>
      </c>
      <c r="N28" s="13" t="n">
        <f aca="false">SUM(B28:M28)</f>
        <v>12000</v>
      </c>
    </row>
    <row r="29" customFormat="false" ht="15" hidden="false" customHeight="false" outlineLevel="0" collapsed="false">
      <c r="A29" s="0" t="s">
        <v>209</v>
      </c>
      <c r="B29" s="13" t="n">
        <f aca="false">B24+B25+B26-B27-B28</f>
        <v>130009.04</v>
      </c>
      <c r="C29" s="13" t="n">
        <f aca="false">C24+C25+C26-C27-C28</f>
        <v>134496.845</v>
      </c>
      <c r="D29" s="13" t="n">
        <f aca="false">D24+D25+D26-D27-D28</f>
        <v>139625.765</v>
      </c>
      <c r="E29" s="13" t="n">
        <f aca="false">E24+E25+E26-E27-E28</f>
        <v>144754.685</v>
      </c>
      <c r="F29" s="13" t="n">
        <f aca="false">F24+F25+F26-F27-F28</f>
        <v>150524.72</v>
      </c>
      <c r="G29" s="13" t="n">
        <f aca="false">G24+G25+G26-G27-G28</f>
        <v>156294.755</v>
      </c>
      <c r="H29" s="13" t="n">
        <f aca="false">H24+H25+H26-H27-H28</f>
        <v>161543.555</v>
      </c>
      <c r="I29" s="13" t="n">
        <f aca="false">I24+I25+I26-I27-I28</f>
        <v>167954.705</v>
      </c>
      <c r="J29" s="13" t="n">
        <f aca="false">J24+J25+J26-J27-J28</f>
        <v>174887.09</v>
      </c>
      <c r="K29" s="13" t="n">
        <f aca="false">K24+K25+K26-K27-K28</f>
        <v>176657.125</v>
      </c>
      <c r="L29" s="13" t="n">
        <f aca="false">L24+L25+L26-L27-L28</f>
        <v>177786.045</v>
      </c>
      <c r="M29" s="13" t="n">
        <f aca="false">M24+M25+M26-M27-M28</f>
        <v>177111.5</v>
      </c>
      <c r="N29" s="18" t="n">
        <f aca="false">SUM(B29:M29)</f>
        <v>1891645.83</v>
      </c>
    </row>
    <row r="32" customFormat="false" ht="15" hidden="false" customHeight="false" outlineLevel="0" collapsed="false">
      <c r="A32" s="5" t="s">
        <v>109</v>
      </c>
      <c r="B32" s="19"/>
      <c r="C32" s="19"/>
      <c r="D32" s="19"/>
      <c r="E32" s="19"/>
      <c r="F32" s="19"/>
      <c r="G32" s="19"/>
      <c r="H32" s="19"/>
      <c r="I32" s="19"/>
      <c r="J32" s="19"/>
      <c r="K32" s="19"/>
      <c r="L32" s="19"/>
      <c r="M32" s="19"/>
      <c r="N32" s="19"/>
    </row>
    <row r="33" customFormat="false" ht="15" hidden="false" customHeight="false" outlineLevel="0" collapsed="false">
      <c r="A33" s="0" t="s">
        <v>204</v>
      </c>
      <c r="B33" s="21" t="n">
        <v>165000</v>
      </c>
      <c r="C33" s="13" t="n">
        <f aca="false">B38</f>
        <v>171706.8324</v>
      </c>
      <c r="D33" s="13" t="n">
        <f aca="false">C38</f>
        <v>177778.4952</v>
      </c>
      <c r="E33" s="13" t="n">
        <f aca="false">D38</f>
        <v>184717.5384</v>
      </c>
      <c r="F33" s="13" t="n">
        <f aca="false">E38</f>
        <v>191656.5816</v>
      </c>
      <c r="G33" s="13" t="n">
        <f aca="false">F38</f>
        <v>199463.0052</v>
      </c>
      <c r="H33" s="13" t="n">
        <f aca="false">G38</f>
        <v>207269.4288</v>
      </c>
      <c r="I33" s="13" t="n">
        <f aca="false">H38</f>
        <v>214440.6828</v>
      </c>
      <c r="J33" s="13" t="n">
        <f aca="false">I38</f>
        <v>223114.4868</v>
      </c>
      <c r="K33" s="13" t="n">
        <f aca="false">J38</f>
        <v>232423.4604</v>
      </c>
      <c r="L33" s="13" t="n">
        <f aca="false">K38</f>
        <v>236229.884</v>
      </c>
      <c r="M33" s="13" t="n">
        <f aca="false">L38</f>
        <v>239168.9272</v>
      </c>
      <c r="N33" s="13" t="n">
        <f aca="false">SUM(B33:M33)</f>
        <v>2442969.3228</v>
      </c>
    </row>
    <row r="34" customFormat="false" ht="15" hidden="false" customHeight="false" outlineLevel="0" collapsed="false">
      <c r="A34" s="0" t="s">
        <v>205</v>
      </c>
      <c r="B34" s="13" t="n">
        <f aca="false">MAX(0,99_Helper!B38-99_Helper!B37)*0.45</f>
        <v>6706.8324</v>
      </c>
      <c r="C34" s="13" t="n">
        <f aca="false">MAX(0,99_Helper!C38-99_Helper!C37)*0.45</f>
        <v>6071.6628</v>
      </c>
      <c r="D34" s="13" t="n">
        <f aca="false">MAX(0,99_Helper!D38-99_Helper!D37)*0.45</f>
        <v>6939.0432</v>
      </c>
      <c r="E34" s="13" t="n">
        <f aca="false">MAX(0,99_Helper!E38-99_Helper!E37)*0.45</f>
        <v>6939.0432</v>
      </c>
      <c r="F34" s="13" t="n">
        <f aca="false">MAX(0,99_Helper!F38-99_Helper!F37)*0.45</f>
        <v>7806.4236</v>
      </c>
      <c r="G34" s="13" t="n">
        <f aca="false">MAX(0,99_Helper!G38-99_Helper!G37)*0.45</f>
        <v>7806.4236</v>
      </c>
      <c r="H34" s="13" t="n">
        <f aca="false">MAX(0,99_Helper!H38-99_Helper!H37)*0.45</f>
        <v>7171.254</v>
      </c>
      <c r="I34" s="13" t="n">
        <f aca="false">MAX(0,99_Helper!I38-99_Helper!I37)*0.45</f>
        <v>8673.804</v>
      </c>
      <c r="J34" s="13" t="n">
        <f aca="false">MAX(0,99_Helper!J38-99_Helper!J37)*0.45</f>
        <v>9308.9736</v>
      </c>
      <c r="K34" s="13" t="n">
        <f aca="false">MAX(0,99_Helper!K38-99_Helper!K37)*0.45</f>
        <v>7806.4236</v>
      </c>
      <c r="L34" s="13" t="n">
        <f aca="false">MAX(0,99_Helper!L38-99_Helper!L37)*0.45</f>
        <v>6939.0432</v>
      </c>
      <c r="M34" s="13" t="n">
        <f aca="false">MAX(0,99_Helper!M38-99_Helper!M37)*0.45</f>
        <v>4569.1128</v>
      </c>
      <c r="N34" s="13" t="n">
        <f aca="false">SUM(B34:M34)</f>
        <v>86738.04</v>
      </c>
    </row>
    <row r="35" customFormat="false" ht="15" hidden="false" customHeight="false" outlineLevel="0" collapsed="false">
      <c r="A35" s="0" t="s">
        <v>206</v>
      </c>
      <c r="B35" s="13" t="n">
        <f aca="false">B33*'02 Budget Assumptions'!$G$38 / 12</f>
        <v>1010.625</v>
      </c>
      <c r="C35" s="13" t="n">
        <f aca="false">C33*'02 Budget Assumptions'!$G$38 / 12</f>
        <v>1051.70434845</v>
      </c>
      <c r="D35" s="13" t="n">
        <f aca="false">D33*'02 Budget Assumptions'!$G$38 / 12</f>
        <v>1088.8932831</v>
      </c>
      <c r="E35" s="13" t="n">
        <f aca="false">E33*'02 Budget Assumptions'!$G$38 / 12</f>
        <v>1131.3949227</v>
      </c>
      <c r="F35" s="13" t="n">
        <f aca="false">F33*'02 Budget Assumptions'!$G$38 / 12</f>
        <v>1173.8965623</v>
      </c>
      <c r="G35" s="13" t="n">
        <f aca="false">G33*'02 Budget Assumptions'!$G$38 / 12</f>
        <v>1221.71090685</v>
      </c>
      <c r="H35" s="13" t="n">
        <f aca="false">H33*'02 Budget Assumptions'!$G$38 / 12</f>
        <v>1269.5252514</v>
      </c>
      <c r="I35" s="13" t="n">
        <f aca="false">I33*'02 Budget Assumptions'!$G$38 / 12</f>
        <v>1313.44918215</v>
      </c>
      <c r="J35" s="13" t="n">
        <f aca="false">J33*'02 Budget Assumptions'!$G$38 / 12</f>
        <v>1366.57623165</v>
      </c>
      <c r="K35" s="13" t="n">
        <f aca="false">K33*'02 Budget Assumptions'!$G$38 / 12</f>
        <v>1423.59369495</v>
      </c>
      <c r="L35" s="13" t="n">
        <f aca="false">L33*'02 Budget Assumptions'!$G$38 / 12</f>
        <v>1446.9080395</v>
      </c>
      <c r="M35" s="13" t="n">
        <f aca="false">M33*'02 Budget Assumptions'!$G$38 / 12</f>
        <v>1464.9096791</v>
      </c>
      <c r="N35" s="13" t="n">
        <f aca="false">SUM(B35:M35)</f>
        <v>14963.18710215</v>
      </c>
    </row>
    <row r="36" customFormat="false" ht="15" hidden="false" customHeight="false" outlineLevel="0" collapsed="false">
      <c r="A36" s="0" t="s">
        <v>207</v>
      </c>
      <c r="B36" s="13" t="n">
        <f aca="false">B35</f>
        <v>1010.625</v>
      </c>
      <c r="C36" s="13" t="n">
        <f aca="false">C35</f>
        <v>1051.70434845</v>
      </c>
      <c r="D36" s="13" t="n">
        <f aca="false">D35</f>
        <v>1088.8932831</v>
      </c>
      <c r="E36" s="13" t="n">
        <f aca="false">E35</f>
        <v>1131.3949227</v>
      </c>
      <c r="F36" s="13" t="n">
        <f aca="false">F35</f>
        <v>1173.8965623</v>
      </c>
      <c r="G36" s="13" t="n">
        <f aca="false">G35</f>
        <v>1221.71090685</v>
      </c>
      <c r="H36" s="13" t="n">
        <f aca="false">H35</f>
        <v>1269.5252514</v>
      </c>
      <c r="I36" s="13" t="n">
        <f aca="false">I35</f>
        <v>1313.44918215</v>
      </c>
      <c r="J36" s="13" t="n">
        <f aca="false">J35</f>
        <v>1366.57623165</v>
      </c>
      <c r="K36" s="13" t="n">
        <f aca="false">K35</f>
        <v>1423.59369495</v>
      </c>
      <c r="L36" s="13" t="n">
        <f aca="false">L35</f>
        <v>1446.9080395</v>
      </c>
      <c r="M36" s="13" t="n">
        <f aca="false">M35</f>
        <v>1464.9096791</v>
      </c>
      <c r="N36" s="13" t="n">
        <f aca="false">SUM(B36:M36)</f>
        <v>14963.18710215</v>
      </c>
    </row>
    <row r="37" customFormat="false" ht="15" hidden="false" customHeight="false" outlineLevel="0" collapsed="false">
      <c r="A37" s="0" t="s">
        <v>208</v>
      </c>
      <c r="B37" s="12" t="n">
        <v>0</v>
      </c>
      <c r="C37" s="12" t="n">
        <v>0</v>
      </c>
      <c r="D37" s="12" t="n">
        <v>0</v>
      </c>
      <c r="E37" s="12" t="n">
        <v>0</v>
      </c>
      <c r="F37" s="12" t="n">
        <v>0</v>
      </c>
      <c r="G37" s="12" t="n">
        <v>0</v>
      </c>
      <c r="H37" s="12" t="n">
        <v>0</v>
      </c>
      <c r="I37" s="12" t="n">
        <v>0</v>
      </c>
      <c r="J37" s="12" t="n">
        <v>0</v>
      </c>
      <c r="K37" s="12" t="n">
        <v>4000</v>
      </c>
      <c r="L37" s="12" t="n">
        <v>4000</v>
      </c>
      <c r="M37" s="12" t="n">
        <v>4000</v>
      </c>
      <c r="N37" s="13" t="n">
        <f aca="false">SUM(B37:M37)</f>
        <v>12000</v>
      </c>
    </row>
    <row r="38" customFormat="false" ht="15" hidden="false" customHeight="false" outlineLevel="0" collapsed="false">
      <c r="A38" s="0" t="s">
        <v>209</v>
      </c>
      <c r="B38" s="13" t="n">
        <f aca="false">B33+B34+B35-B36-B37</f>
        <v>171706.8324</v>
      </c>
      <c r="C38" s="13" t="n">
        <f aca="false">C33+C34+C35-C36-C37</f>
        <v>177778.4952</v>
      </c>
      <c r="D38" s="13" t="n">
        <f aca="false">D33+D34+D35-D36-D37</f>
        <v>184717.5384</v>
      </c>
      <c r="E38" s="13" t="n">
        <f aca="false">E33+E34+E35-E36-E37</f>
        <v>191656.5816</v>
      </c>
      <c r="F38" s="13" t="n">
        <f aca="false">F33+F34+F35-F36-F37</f>
        <v>199463.0052</v>
      </c>
      <c r="G38" s="13" t="n">
        <f aca="false">G33+G34+G35-G36-G37</f>
        <v>207269.4288</v>
      </c>
      <c r="H38" s="13" t="n">
        <f aca="false">H33+H34+H35-H36-H37</f>
        <v>214440.6828</v>
      </c>
      <c r="I38" s="13" t="n">
        <f aca="false">I33+I34+I35-I36-I37</f>
        <v>223114.4868</v>
      </c>
      <c r="J38" s="13" t="n">
        <f aca="false">J33+J34+J35-J36-J37</f>
        <v>232423.4604</v>
      </c>
      <c r="K38" s="13" t="n">
        <f aca="false">K33+K34+K35-K36-K37</f>
        <v>236229.884</v>
      </c>
      <c r="L38" s="13" t="n">
        <f aca="false">L33+L34+L35-L36-L37</f>
        <v>239168.9272</v>
      </c>
      <c r="M38" s="13" t="n">
        <f aca="false">M33+M34+M35-M36-M37</f>
        <v>239738.04</v>
      </c>
      <c r="N38" s="18" t="n">
        <f aca="false">SUM(B38:M38)</f>
        <v>2517707.3628</v>
      </c>
    </row>
    <row r="41" customFormat="false" ht="15" hidden="false" customHeight="false" outlineLevel="0" collapsed="false">
      <c r="A41" s="5" t="s">
        <v>210</v>
      </c>
      <c r="B41" s="19"/>
      <c r="C41" s="19"/>
      <c r="D41" s="19"/>
      <c r="E41" s="19"/>
      <c r="F41" s="19"/>
      <c r="G41" s="19"/>
      <c r="H41" s="19"/>
      <c r="I41" s="19"/>
      <c r="J41" s="19"/>
      <c r="K41" s="19"/>
      <c r="L41" s="19"/>
      <c r="M41" s="19"/>
      <c r="N41" s="19"/>
    </row>
    <row r="42" customFormat="false" ht="15" hidden="false" customHeight="false" outlineLevel="0" collapsed="false">
      <c r="A42" s="0" t="s">
        <v>204</v>
      </c>
      <c r="B42" s="21" t="n">
        <v>60000</v>
      </c>
      <c r="C42" s="13" t="n">
        <f aca="false">B47</f>
        <v>60000</v>
      </c>
      <c r="D42" s="13" t="n">
        <f aca="false">C47</f>
        <v>60000</v>
      </c>
      <c r="E42" s="13" t="n">
        <f aca="false">D47</f>
        <v>70000</v>
      </c>
      <c r="F42" s="13" t="n">
        <f aca="false">E47</f>
        <v>85000</v>
      </c>
      <c r="G42" s="13" t="n">
        <f aca="false">F47</f>
        <v>95000</v>
      </c>
      <c r="H42" s="13" t="n">
        <f aca="false">G47</f>
        <v>90000</v>
      </c>
      <c r="I42" s="13" t="n">
        <f aca="false">H47</f>
        <v>80000</v>
      </c>
      <c r="J42" s="13" t="n">
        <f aca="false">I47</f>
        <v>85000</v>
      </c>
      <c r="K42" s="13" t="n">
        <f aca="false">J47</f>
        <v>80000</v>
      </c>
      <c r="L42" s="13" t="n">
        <f aca="false">K47</f>
        <v>70000</v>
      </c>
      <c r="M42" s="13" t="n">
        <f aca="false">L47</f>
        <v>65000</v>
      </c>
      <c r="N42" s="13" t="n">
        <f aca="false">SUM(B42:M42)</f>
        <v>900000</v>
      </c>
    </row>
    <row r="43" customFormat="false" ht="15" hidden="false" customHeight="false" outlineLevel="0" collapsed="false">
      <c r="A43" s="0" t="s">
        <v>205</v>
      </c>
      <c r="B43" s="12" t="n">
        <v>0</v>
      </c>
      <c r="C43" s="12" t="n">
        <v>0</v>
      </c>
      <c r="D43" s="12" t="n">
        <v>10000</v>
      </c>
      <c r="E43" s="12" t="n">
        <v>15000</v>
      </c>
      <c r="F43" s="12" t="n">
        <v>10000</v>
      </c>
      <c r="G43" s="12" t="n">
        <v>0</v>
      </c>
      <c r="H43" s="12" t="n">
        <v>0</v>
      </c>
      <c r="I43" s="12" t="n">
        <v>5000</v>
      </c>
      <c r="J43" s="12" t="n">
        <v>0</v>
      </c>
      <c r="K43" s="12" t="n">
        <v>0</v>
      </c>
      <c r="L43" s="12" t="n">
        <v>0</v>
      </c>
      <c r="M43" s="12" t="n">
        <v>0</v>
      </c>
      <c r="N43" s="13" t="n">
        <f aca="false">SUM(B43:M43)</f>
        <v>40000</v>
      </c>
    </row>
    <row r="44" customFormat="false" ht="15" hidden="false" customHeight="false" outlineLevel="0" collapsed="false">
      <c r="A44" s="0" t="s">
        <v>206</v>
      </c>
      <c r="B44" s="13" t="n">
        <f aca="false">B42*0.0775/12</f>
        <v>387.5</v>
      </c>
      <c r="C44" s="13" t="n">
        <f aca="false">C42*0.0775/12</f>
        <v>387.5</v>
      </c>
      <c r="D44" s="13" t="n">
        <f aca="false">D42*0.0775/12</f>
        <v>387.5</v>
      </c>
      <c r="E44" s="13" t="n">
        <f aca="false">E42*0.0775/12</f>
        <v>452.083333333333</v>
      </c>
      <c r="F44" s="13" t="n">
        <f aca="false">F42*0.0775/12</f>
        <v>548.958333333333</v>
      </c>
      <c r="G44" s="13" t="n">
        <f aca="false">G42*0.0775/12</f>
        <v>613.541666666667</v>
      </c>
      <c r="H44" s="13" t="n">
        <f aca="false">H42*0.0775/12</f>
        <v>581.25</v>
      </c>
      <c r="I44" s="13" t="n">
        <f aca="false">I42*0.0775/12</f>
        <v>516.666666666667</v>
      </c>
      <c r="J44" s="13" t="n">
        <f aca="false">J42*0.0775/12</f>
        <v>548.958333333333</v>
      </c>
      <c r="K44" s="13" t="n">
        <f aca="false">K42*0.0775/12</f>
        <v>516.666666666667</v>
      </c>
      <c r="L44" s="13" t="n">
        <f aca="false">L42*0.0775/12</f>
        <v>452.083333333333</v>
      </c>
      <c r="M44" s="13" t="n">
        <f aca="false">M42*0.0775/12</f>
        <v>419.791666666667</v>
      </c>
      <c r="N44" s="13" t="n">
        <f aca="false">SUM(B44:M44)</f>
        <v>5812.5</v>
      </c>
    </row>
    <row r="45" customFormat="false" ht="15" hidden="false" customHeight="false" outlineLevel="0" collapsed="false">
      <c r="A45" s="0" t="s">
        <v>207</v>
      </c>
      <c r="B45" s="13" t="n">
        <f aca="false">B44</f>
        <v>387.5</v>
      </c>
      <c r="C45" s="13" t="n">
        <f aca="false">C44</f>
        <v>387.5</v>
      </c>
      <c r="D45" s="13" t="n">
        <f aca="false">D44</f>
        <v>387.5</v>
      </c>
      <c r="E45" s="13" t="n">
        <f aca="false">E44</f>
        <v>452.083333333333</v>
      </c>
      <c r="F45" s="13" t="n">
        <f aca="false">F44</f>
        <v>548.958333333333</v>
      </c>
      <c r="G45" s="13" t="n">
        <f aca="false">G44</f>
        <v>613.541666666667</v>
      </c>
      <c r="H45" s="13" t="n">
        <f aca="false">H44</f>
        <v>581.25</v>
      </c>
      <c r="I45" s="13" t="n">
        <f aca="false">I44</f>
        <v>516.666666666667</v>
      </c>
      <c r="J45" s="13" t="n">
        <f aca="false">J44</f>
        <v>548.958333333333</v>
      </c>
      <c r="K45" s="13" t="n">
        <f aca="false">K44</f>
        <v>516.666666666667</v>
      </c>
      <c r="L45" s="13" t="n">
        <f aca="false">L44</f>
        <v>452.083333333333</v>
      </c>
      <c r="M45" s="13" t="n">
        <f aca="false">M44</f>
        <v>419.791666666667</v>
      </c>
      <c r="N45" s="13" t="n">
        <f aca="false">SUM(B45:M45)</f>
        <v>5812.5</v>
      </c>
    </row>
    <row r="46" customFormat="false" ht="15" hidden="false" customHeight="false" outlineLevel="0" collapsed="false">
      <c r="A46" s="0" t="s">
        <v>208</v>
      </c>
      <c r="B46" s="12" t="n">
        <v>0</v>
      </c>
      <c r="C46" s="12" t="n">
        <v>0</v>
      </c>
      <c r="D46" s="12" t="n">
        <v>0</v>
      </c>
      <c r="E46" s="12" t="n">
        <v>0</v>
      </c>
      <c r="F46" s="12" t="n">
        <v>0</v>
      </c>
      <c r="G46" s="12" t="n">
        <v>5000</v>
      </c>
      <c r="H46" s="12" t="n">
        <v>10000</v>
      </c>
      <c r="I46" s="12" t="n">
        <v>0</v>
      </c>
      <c r="J46" s="12" t="n">
        <v>5000</v>
      </c>
      <c r="K46" s="12" t="n">
        <v>10000</v>
      </c>
      <c r="L46" s="12" t="n">
        <v>5000</v>
      </c>
      <c r="M46" s="12" t="n">
        <v>5000</v>
      </c>
      <c r="N46" s="13" t="n">
        <f aca="false">SUM(B46:M46)</f>
        <v>40000</v>
      </c>
    </row>
    <row r="47" customFormat="false" ht="15" hidden="false" customHeight="false" outlineLevel="0" collapsed="false">
      <c r="A47" s="0" t="s">
        <v>209</v>
      </c>
      <c r="B47" s="13" t="n">
        <f aca="false">B42+B43+B44-B45-B46</f>
        <v>60000</v>
      </c>
      <c r="C47" s="13" t="n">
        <f aca="false">C42+C43+C44-C45-C46</f>
        <v>60000</v>
      </c>
      <c r="D47" s="13" t="n">
        <f aca="false">D42+D43+D44-D45-D46</f>
        <v>70000</v>
      </c>
      <c r="E47" s="13" t="n">
        <f aca="false">E42+E43+E44-E45-E46</f>
        <v>85000</v>
      </c>
      <c r="F47" s="13" t="n">
        <f aca="false">F42+F43+F44-F45-F46</f>
        <v>95000</v>
      </c>
      <c r="G47" s="13" t="n">
        <f aca="false">G42+G43+G44-G45-G46</f>
        <v>90000</v>
      </c>
      <c r="H47" s="13" t="n">
        <f aca="false">H42+H43+H44-H45-H46</f>
        <v>80000</v>
      </c>
      <c r="I47" s="13" t="n">
        <f aca="false">I42+I43+I44-I45-I46</f>
        <v>85000</v>
      </c>
      <c r="J47" s="13" t="n">
        <f aca="false">J42+J43+J44-J45-J46</f>
        <v>80000</v>
      </c>
      <c r="K47" s="13" t="n">
        <f aca="false">K42+K43+K44-K45-K46</f>
        <v>70000</v>
      </c>
      <c r="L47" s="13" t="n">
        <f aca="false">L42+L43+L44-L45-L46</f>
        <v>65000</v>
      </c>
      <c r="M47" s="13" t="n">
        <f aca="false">M42+M43+M44-M45-M46</f>
        <v>60000</v>
      </c>
      <c r="N47" s="18" t="n">
        <f aca="false">SUM(B47:M47)</f>
        <v>900000</v>
      </c>
    </row>
    <row r="50" customFormat="false" ht="15" hidden="false" customHeight="false" outlineLevel="0" collapsed="false">
      <c r="A50" s="5" t="s">
        <v>211</v>
      </c>
      <c r="B50" s="19"/>
      <c r="C50" s="19"/>
      <c r="D50" s="19"/>
      <c r="E50" s="19"/>
      <c r="F50" s="19"/>
      <c r="G50" s="19"/>
      <c r="H50" s="19"/>
      <c r="I50" s="19"/>
      <c r="J50" s="19"/>
      <c r="K50" s="19"/>
      <c r="L50" s="19"/>
      <c r="M50" s="19"/>
      <c r="N50" s="19"/>
    </row>
    <row r="51" customFormat="false" ht="15" hidden="false" customHeight="false" outlineLevel="0" collapsed="false">
      <c r="A51" s="0" t="s">
        <v>204</v>
      </c>
      <c r="B51" s="21" t="n">
        <v>85000</v>
      </c>
      <c r="C51" s="13" t="n">
        <f aca="false">B56</f>
        <v>90000</v>
      </c>
      <c r="D51" s="13" t="n">
        <f aca="false">C56</f>
        <v>95000</v>
      </c>
      <c r="E51" s="13" t="n">
        <f aca="false">D56</f>
        <v>95000</v>
      </c>
      <c r="F51" s="13" t="n">
        <f aca="false">E56</f>
        <v>95000</v>
      </c>
      <c r="G51" s="13" t="n">
        <f aca="false">F56</f>
        <v>95000</v>
      </c>
      <c r="H51" s="13" t="n">
        <f aca="false">G56</f>
        <v>95000</v>
      </c>
      <c r="I51" s="13" t="n">
        <f aca="false">H56</f>
        <v>95000</v>
      </c>
      <c r="J51" s="13" t="n">
        <f aca="false">I56</f>
        <v>95000</v>
      </c>
      <c r="K51" s="13" t="n">
        <f aca="false">J56</f>
        <v>95000</v>
      </c>
      <c r="L51" s="13" t="n">
        <f aca="false">K56</f>
        <v>95000</v>
      </c>
      <c r="M51" s="13" t="n">
        <f aca="false">L56</f>
        <v>95000</v>
      </c>
      <c r="N51" s="13" t="n">
        <f aca="false">SUM(B51:M51)</f>
        <v>1125000</v>
      </c>
    </row>
    <row r="52" customFormat="false" ht="15" hidden="false" customHeight="false" outlineLevel="0" collapsed="false">
      <c r="A52" s="0" t="s">
        <v>205</v>
      </c>
      <c r="B52" s="12" t="n">
        <v>5000</v>
      </c>
      <c r="C52" s="12" t="n">
        <v>5000</v>
      </c>
      <c r="D52" s="12" t="n">
        <v>0</v>
      </c>
      <c r="E52" s="12" t="n">
        <v>0</v>
      </c>
      <c r="F52" s="12" t="n">
        <v>0</v>
      </c>
      <c r="G52" s="12" t="n">
        <v>0</v>
      </c>
      <c r="H52" s="12" t="n">
        <v>0</v>
      </c>
      <c r="I52" s="12" t="n">
        <v>0</v>
      </c>
      <c r="J52" s="12" t="n">
        <v>0</v>
      </c>
      <c r="K52" s="12" t="n">
        <v>0</v>
      </c>
      <c r="L52" s="12" t="n">
        <v>0</v>
      </c>
      <c r="M52" s="12" t="n">
        <v>0</v>
      </c>
      <c r="N52" s="13" t="n">
        <f aca="false">SUM(B52:M52)</f>
        <v>10000</v>
      </c>
    </row>
    <row r="53" customFormat="false" ht="15" hidden="false" customHeight="false" outlineLevel="0" collapsed="false">
      <c r="A53" s="0" t="s">
        <v>206</v>
      </c>
      <c r="B53" s="13" t="n">
        <f aca="false">B51*0.095/12</f>
        <v>672.916666666667</v>
      </c>
      <c r="C53" s="13" t="n">
        <f aca="false">C51*0.095/12</f>
        <v>712.5</v>
      </c>
      <c r="D53" s="13" t="n">
        <f aca="false">D51*0.095/12</f>
        <v>752.083333333333</v>
      </c>
      <c r="E53" s="13" t="n">
        <f aca="false">E51*0.095/12</f>
        <v>752.083333333333</v>
      </c>
      <c r="F53" s="13" t="n">
        <f aca="false">F51*0.095/12</f>
        <v>752.083333333333</v>
      </c>
      <c r="G53" s="13" t="n">
        <f aca="false">G51*0.095/12</f>
        <v>752.083333333333</v>
      </c>
      <c r="H53" s="13" t="n">
        <f aca="false">H51*0.095/12</f>
        <v>752.083333333333</v>
      </c>
      <c r="I53" s="13" t="n">
        <f aca="false">I51*0.095/12</f>
        <v>752.083333333333</v>
      </c>
      <c r="J53" s="13" t="n">
        <f aca="false">J51*0.095/12</f>
        <v>752.083333333333</v>
      </c>
      <c r="K53" s="13" t="n">
        <f aca="false">K51*0.095/12</f>
        <v>752.083333333333</v>
      </c>
      <c r="L53" s="13" t="n">
        <f aca="false">L51*0.095/12</f>
        <v>752.083333333333</v>
      </c>
      <c r="M53" s="13" t="n">
        <f aca="false">M51*0.095/12</f>
        <v>752.083333333333</v>
      </c>
      <c r="N53" s="13" t="n">
        <f aca="false">SUM(B53:M53)</f>
        <v>8906.25</v>
      </c>
    </row>
    <row r="54" customFormat="false" ht="15" hidden="false" customHeight="false" outlineLevel="0" collapsed="false">
      <c r="A54" s="0" t="s">
        <v>207</v>
      </c>
      <c r="B54" s="13" t="n">
        <f aca="false">B53</f>
        <v>672.916666666667</v>
      </c>
      <c r="C54" s="13" t="n">
        <f aca="false">C53</f>
        <v>712.5</v>
      </c>
      <c r="D54" s="13" t="n">
        <f aca="false">D53</f>
        <v>752.083333333333</v>
      </c>
      <c r="E54" s="13" t="n">
        <f aca="false">E53</f>
        <v>752.083333333333</v>
      </c>
      <c r="F54" s="13" t="n">
        <f aca="false">F53</f>
        <v>752.083333333333</v>
      </c>
      <c r="G54" s="13" t="n">
        <f aca="false">G53</f>
        <v>752.083333333333</v>
      </c>
      <c r="H54" s="13" t="n">
        <f aca="false">H53</f>
        <v>752.083333333333</v>
      </c>
      <c r="I54" s="13" t="n">
        <f aca="false">I53</f>
        <v>752.083333333333</v>
      </c>
      <c r="J54" s="13" t="n">
        <f aca="false">J53</f>
        <v>752.083333333333</v>
      </c>
      <c r="K54" s="13" t="n">
        <f aca="false">K53</f>
        <v>752.083333333333</v>
      </c>
      <c r="L54" s="13" t="n">
        <f aca="false">L53</f>
        <v>752.083333333333</v>
      </c>
      <c r="M54" s="13" t="n">
        <f aca="false">M53</f>
        <v>752.083333333333</v>
      </c>
      <c r="N54" s="13" t="n">
        <f aca="false">SUM(B54:M54)</f>
        <v>8906.25</v>
      </c>
    </row>
    <row r="55" customFormat="false" ht="15" hidden="false" customHeight="false" outlineLevel="0" collapsed="false">
      <c r="A55" s="0" t="s">
        <v>208</v>
      </c>
      <c r="B55" s="12" t="n">
        <v>0</v>
      </c>
      <c r="C55" s="12" t="n">
        <v>0</v>
      </c>
      <c r="D55" s="12" t="n">
        <v>0</v>
      </c>
      <c r="E55" s="12" t="n">
        <v>0</v>
      </c>
      <c r="F55" s="12" t="n">
        <v>0</v>
      </c>
      <c r="G55" s="12" t="n">
        <v>0</v>
      </c>
      <c r="H55" s="12" t="n">
        <v>0</v>
      </c>
      <c r="I55" s="12" t="n">
        <v>0</v>
      </c>
      <c r="J55" s="12" t="n">
        <v>0</v>
      </c>
      <c r="K55" s="12" t="n">
        <v>0</v>
      </c>
      <c r="L55" s="12" t="n">
        <v>0</v>
      </c>
      <c r="M55" s="12" t="n">
        <v>0</v>
      </c>
      <c r="N55" s="13" t="n">
        <f aca="false">SUM(B55:M55)</f>
        <v>0</v>
      </c>
    </row>
    <row r="56" customFormat="false" ht="15" hidden="false" customHeight="false" outlineLevel="0" collapsed="false">
      <c r="A56" s="0" t="s">
        <v>209</v>
      </c>
      <c r="B56" s="13" t="n">
        <f aca="false">B51+B52+B53-B54-B55</f>
        <v>90000</v>
      </c>
      <c r="C56" s="13" t="n">
        <f aca="false">C51+C52+C53-C54-C55</f>
        <v>95000</v>
      </c>
      <c r="D56" s="13" t="n">
        <f aca="false">D51+D52+D53-D54-D55</f>
        <v>95000</v>
      </c>
      <c r="E56" s="13" t="n">
        <f aca="false">E51+E52+E53-E54-E55</f>
        <v>95000</v>
      </c>
      <c r="F56" s="13" t="n">
        <f aca="false">F51+F52+F53-F54-F55</f>
        <v>95000</v>
      </c>
      <c r="G56" s="13" t="n">
        <f aca="false">G51+G52+G53-G54-G55</f>
        <v>95000</v>
      </c>
      <c r="H56" s="13" t="n">
        <f aca="false">H51+H52+H53-H54-H55</f>
        <v>95000</v>
      </c>
      <c r="I56" s="13" t="n">
        <f aca="false">I51+I52+I53-I54-I55</f>
        <v>95000</v>
      </c>
      <c r="J56" s="13" t="n">
        <f aca="false">J51+J52+J53-J54-J55</f>
        <v>95000</v>
      </c>
      <c r="K56" s="13" t="n">
        <f aca="false">K51+K52+K53-K54-K55</f>
        <v>95000</v>
      </c>
      <c r="L56" s="13" t="n">
        <f aca="false">L51+L52+L53-L54-L55</f>
        <v>95000</v>
      </c>
      <c r="M56" s="13" t="n">
        <f aca="false">M51+M52+M53-M54-M55</f>
        <v>95000</v>
      </c>
      <c r="N56" s="18" t="n">
        <f aca="false">SUM(B56:M56)</f>
        <v>1135000</v>
      </c>
    </row>
    <row r="59" customFormat="false" ht="15" hidden="false" customHeight="false" outlineLevel="0" collapsed="false">
      <c r="A59" s="9" t="s">
        <v>212</v>
      </c>
      <c r="B59" s="9"/>
      <c r="C59" s="9"/>
      <c r="D59" s="9"/>
      <c r="E59" s="9"/>
      <c r="F59" s="9"/>
      <c r="G59" s="9"/>
      <c r="H59" s="9"/>
      <c r="I59" s="9"/>
      <c r="J59" s="9"/>
      <c r="K59" s="9"/>
      <c r="L59" s="9"/>
      <c r="M59" s="9"/>
      <c r="N59" s="9"/>
    </row>
    <row r="60" customFormat="false" ht="15" hidden="false" customHeight="false" outlineLevel="0" collapsed="false">
      <c r="A60" s="0" t="s">
        <v>213</v>
      </c>
      <c r="B60" s="12" t="n">
        <v>180</v>
      </c>
      <c r="C60" s="12" t="n">
        <v>180</v>
      </c>
      <c r="D60" s="12" t="n">
        <v>180</v>
      </c>
      <c r="E60" s="12" t="n">
        <v>180</v>
      </c>
      <c r="F60" s="12" t="n">
        <v>180</v>
      </c>
      <c r="G60" s="12" t="n">
        <v>180</v>
      </c>
      <c r="H60" s="12" t="n">
        <v>180</v>
      </c>
      <c r="I60" s="12" t="n">
        <v>180</v>
      </c>
      <c r="J60" s="12" t="n">
        <v>180</v>
      </c>
      <c r="K60" s="12" t="n">
        <v>180</v>
      </c>
      <c r="L60" s="12" t="n">
        <v>180</v>
      </c>
      <c r="M60" s="12" t="n">
        <v>180</v>
      </c>
      <c r="N60" s="13" t="n">
        <f aca="false">SUM(B60:M60)</f>
        <v>2160</v>
      </c>
    </row>
    <row r="61" customFormat="false" ht="15" hidden="false" customHeight="false" outlineLevel="0" collapsed="false">
      <c r="A61" s="0" t="s">
        <v>214</v>
      </c>
      <c r="B61" s="12" t="n">
        <v>2500</v>
      </c>
      <c r="C61" s="12" t="n">
        <v>0</v>
      </c>
      <c r="D61" s="12" t="n">
        <v>0</v>
      </c>
      <c r="E61" s="12" t="n">
        <v>0</v>
      </c>
      <c r="F61" s="12" t="n">
        <v>0</v>
      </c>
      <c r="G61" s="12" t="n">
        <v>2500</v>
      </c>
      <c r="H61" s="12" t="n">
        <v>0</v>
      </c>
      <c r="I61" s="12" t="n">
        <v>0</v>
      </c>
      <c r="J61" s="12" t="n">
        <v>0</v>
      </c>
      <c r="K61" s="12" t="n">
        <v>0</v>
      </c>
      <c r="L61" s="12" t="n">
        <v>0</v>
      </c>
      <c r="M61" s="12" t="n">
        <v>0</v>
      </c>
      <c r="N61" s="13" t="n">
        <f aca="false">SUM(B61:M61)</f>
        <v>5000</v>
      </c>
    </row>
    <row r="62" customFormat="false" ht="15" hidden="false" customHeight="false" outlineLevel="0" collapsed="false">
      <c r="A62" s="0" t="s">
        <v>215</v>
      </c>
      <c r="B62" s="12" t="n">
        <v>65</v>
      </c>
      <c r="C62" s="12" t="n">
        <v>65</v>
      </c>
      <c r="D62" s="12" t="n">
        <v>65</v>
      </c>
      <c r="E62" s="12" t="n">
        <v>65</v>
      </c>
      <c r="F62" s="12" t="n">
        <v>65</v>
      </c>
      <c r="G62" s="12" t="n">
        <v>65</v>
      </c>
      <c r="H62" s="12" t="n">
        <v>65</v>
      </c>
      <c r="I62" s="12" t="n">
        <v>65</v>
      </c>
      <c r="J62" s="12" t="n">
        <v>65</v>
      </c>
      <c r="K62" s="12" t="n">
        <v>65</v>
      </c>
      <c r="L62" s="12" t="n">
        <v>65</v>
      </c>
      <c r="M62" s="12" t="n">
        <v>65</v>
      </c>
      <c r="N62" s="13" t="n">
        <f aca="false">SUM(B62:M62)</f>
        <v>780</v>
      </c>
    </row>
    <row r="63" customFormat="false" ht="15" hidden="false" customHeight="false" outlineLevel="0" collapsed="false">
      <c r="A63" s="9" t="s">
        <v>216</v>
      </c>
      <c r="B63" s="9"/>
      <c r="C63" s="9"/>
      <c r="D63" s="9"/>
      <c r="E63" s="9"/>
      <c r="F63" s="9"/>
      <c r="G63" s="9"/>
      <c r="H63" s="9"/>
      <c r="I63" s="9"/>
      <c r="J63" s="9"/>
      <c r="K63" s="9"/>
      <c r="L63" s="9"/>
      <c r="M63" s="9"/>
      <c r="N63" s="9"/>
    </row>
    <row r="64" customFormat="false" ht="15" hidden="false" customHeight="false" outlineLevel="0" collapsed="false">
      <c r="A64" s="0" t="s">
        <v>217</v>
      </c>
      <c r="B64" s="15" t="n">
        <f aca="false">SUM(B9,B18,B27,B36,B45,B54,B60,B61,B62)</f>
        <v>7398.33333333333</v>
      </c>
      <c r="C64" s="15" t="n">
        <f aca="false">SUM(C9,C18,C27,C36,C45,C54,C60,C61,C62)</f>
        <v>5066.07967986667</v>
      </c>
      <c r="D64" s="15" t="n">
        <f aca="false">SUM(D9,D18,D27,D36,D45,D54,D60,D61,D62)</f>
        <v>5218.873394225</v>
      </c>
      <c r="E64" s="15" t="n">
        <f aca="false">SUM(E9,E18,E27,E36,E45,E54,E60,E61,E62)</f>
        <v>5412.84002015833</v>
      </c>
      <c r="F64" s="15" t="n">
        <f aca="false">SUM(F9,F18,F27,F36,F45,F54,F60,F61,F62)</f>
        <v>5639.09831275833</v>
      </c>
      <c r="G64" s="15" t="n">
        <f aca="false">SUM(G9,G18,G27,G36,G45,G54,G60,G61,G62)</f>
        <v>8349.23785026667</v>
      </c>
      <c r="H64" s="15" t="n">
        <f aca="false">SUM(H9,H18,H27,H36,H45,H54,H60,H61,H62)</f>
        <v>5962.502387775</v>
      </c>
      <c r="I64" s="15" t="n">
        <f aca="false">SUM(I9,I18,I27,I36,I45,I54,I60,I61,I62)</f>
        <v>6028.52262644167</v>
      </c>
      <c r="J64" s="15" t="n">
        <f aca="false">SUM(J9,J18,J27,J36,J45,J54,J60,J61,J62)</f>
        <v>6222.54340885833</v>
      </c>
      <c r="K64" s="15" t="n">
        <f aca="false">SUM(K9,K18,K27,K36,K45,K54,K60,K61,K62)</f>
        <v>6366.93349011667</v>
      </c>
      <c r="L64" s="15" t="n">
        <f aca="false">SUM(L9,L18,L27,L36,L45,L54,L60,L61,L62)</f>
        <v>6353.90636095833</v>
      </c>
      <c r="M64" s="15" t="n">
        <f aca="false">SUM(M9,M18,M27,M36,M45,M54,M60,M61,M62)</f>
        <v>6356.99798689167</v>
      </c>
      <c r="N64" s="18" t="n">
        <f aca="false">SUM(B64:M64)</f>
        <v>74375.86885165</v>
      </c>
    </row>
  </sheetData>
  <mergeCells count="4">
    <mergeCell ref="A1:O1"/>
    <mergeCell ref="A2:O2"/>
    <mergeCell ref="A59:N59"/>
    <mergeCell ref="A63:N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14" min="2" style="0" width="11"/>
  </cols>
  <sheetData>
    <row r="1" customFormat="false" ht="18.55" hidden="false" customHeight="false" outlineLevel="0" collapsed="false">
      <c r="A1" s="1" t="s">
        <v>218</v>
      </c>
      <c r="B1" s="1"/>
      <c r="C1" s="1"/>
      <c r="D1" s="1"/>
      <c r="E1" s="1"/>
      <c r="F1" s="1"/>
      <c r="G1" s="1"/>
      <c r="H1" s="1"/>
      <c r="I1" s="1"/>
      <c r="J1" s="1"/>
      <c r="K1" s="1"/>
      <c r="L1" s="1"/>
      <c r="M1" s="1"/>
      <c r="N1" s="1"/>
      <c r="O1" s="1"/>
    </row>
    <row r="2" customFormat="false" ht="15" hidden="false" customHeight="false" outlineLevel="0" collapsed="false">
      <c r="A2" s="2" t="s">
        <v>219</v>
      </c>
      <c r="B2" s="2"/>
      <c r="C2" s="2"/>
      <c r="D2" s="2"/>
      <c r="E2" s="2"/>
      <c r="F2" s="2"/>
      <c r="G2" s="2"/>
      <c r="H2" s="2"/>
      <c r="I2" s="2"/>
      <c r="J2" s="2"/>
      <c r="K2" s="2"/>
      <c r="L2" s="2"/>
      <c r="M2" s="2"/>
      <c r="N2" s="2"/>
      <c r="O2" s="2"/>
    </row>
    <row r="4" customFormat="false" ht="16.4" hidden="false" customHeight="false" outlineLevel="0" collapsed="false">
      <c r="A4" s="3" t="s">
        <v>220</v>
      </c>
      <c r="B4" s="3" t="s">
        <v>78</v>
      </c>
      <c r="C4" s="3" t="s">
        <v>79</v>
      </c>
      <c r="D4" s="3" t="s">
        <v>80</v>
      </c>
      <c r="E4" s="3" t="s">
        <v>81</v>
      </c>
      <c r="F4" s="3" t="s">
        <v>82</v>
      </c>
      <c r="G4" s="3" t="s">
        <v>83</v>
      </c>
      <c r="H4" s="3" t="s">
        <v>84</v>
      </c>
      <c r="I4" s="3" t="s">
        <v>85</v>
      </c>
      <c r="J4" s="3" t="s">
        <v>86</v>
      </c>
      <c r="K4" s="3" t="s">
        <v>87</v>
      </c>
      <c r="L4" s="3" t="s">
        <v>88</v>
      </c>
      <c r="M4" s="3" t="s">
        <v>89</v>
      </c>
      <c r="N4" s="3" t="s">
        <v>113</v>
      </c>
    </row>
    <row r="5" customFormat="false" ht="15" hidden="false" customHeight="false" outlineLevel="0" collapsed="false">
      <c r="A5" s="0" t="s">
        <v>221</v>
      </c>
      <c r="B5" s="13" t="n">
        <v>95000</v>
      </c>
      <c r="C5" s="13" t="n">
        <f aca="false">B28</f>
        <v>133345.648386667</v>
      </c>
      <c r="D5" s="13" t="n">
        <f aca="false">C28</f>
        <v>157655.387493467</v>
      </c>
      <c r="E5" s="13" t="n">
        <f aca="false">D28</f>
        <v>199103.529574797</v>
      </c>
      <c r="F5" s="13" t="n">
        <f aca="false">E28</f>
        <v>238699.609834713</v>
      </c>
      <c r="G5" s="13" t="n">
        <f aca="false">F28</f>
        <v>289304.607762962</v>
      </c>
      <c r="H5" s="13" t="n">
        <f aca="false">G28</f>
        <v>307541.781474107</v>
      </c>
      <c r="I5" s="13" t="n">
        <f aca="false">H28</f>
        <v>335123.453492947</v>
      </c>
      <c r="J5" s="13" t="n">
        <f aca="false">I28</f>
        <v>382988.158850743</v>
      </c>
      <c r="K5" s="13" t="n">
        <f aca="false">J28</f>
        <v>397097.17866607</v>
      </c>
      <c r="L5" s="13" t="n">
        <f aca="false">K28</f>
        <v>367885.268234619</v>
      </c>
      <c r="M5" s="13" t="n">
        <f aca="false">L28</f>
        <v>361304.312575856</v>
      </c>
      <c r="N5" s="13" t="n">
        <f aca="false">SUM(B5:M5)</f>
        <v>3265048.93634695</v>
      </c>
    </row>
    <row r="6" customFormat="false" ht="15" hidden="false" customHeight="false" outlineLevel="0" collapsed="false">
      <c r="A6" s="0" t="s">
        <v>222</v>
      </c>
      <c r="N6" s="13" t="n">
        <f aca="false">SUM(B6:M6)</f>
        <v>0</v>
      </c>
    </row>
    <row r="7" customFormat="false" ht="15" hidden="false" customHeight="false" outlineLevel="0" collapsed="false">
      <c r="A7" s="0" t="s">
        <v>223</v>
      </c>
      <c r="B7" s="13" t="n">
        <f aca="false">99_Helper!B43</f>
        <v>33857.928</v>
      </c>
      <c r="C7" s="13" t="n">
        <f aca="false">99_Helper!C43</f>
        <v>39500.916</v>
      </c>
      <c r="D7" s="13" t="n">
        <f aca="false">99_Helper!D43</f>
        <v>45143.904</v>
      </c>
      <c r="E7" s="13" t="n">
        <f aca="false">99_Helper!E43</f>
        <v>45143.904</v>
      </c>
      <c r="F7" s="13" t="n">
        <f aca="false">99_Helper!F43</f>
        <v>50786.892</v>
      </c>
      <c r="G7" s="13" t="n">
        <f aca="false">99_Helper!G43</f>
        <v>50786.892</v>
      </c>
      <c r="H7" s="13" t="n">
        <f aca="false">99_Helper!H43</f>
        <v>56429.88</v>
      </c>
      <c r="I7" s="13" t="n">
        <f aca="false">99_Helper!I43</f>
        <v>56429.88</v>
      </c>
      <c r="J7" s="13" t="n">
        <f aca="false">99_Helper!J43</f>
        <v>50786.892</v>
      </c>
      <c r="K7" s="13" t="n">
        <f aca="false">99_Helper!K43</f>
        <v>50786.892</v>
      </c>
      <c r="L7" s="13" t="n">
        <f aca="false">99_Helper!L43</f>
        <v>45143.904</v>
      </c>
      <c r="M7" s="13" t="n">
        <f aca="false">99_Helper!M43</f>
        <v>39500.916</v>
      </c>
      <c r="N7" s="13" t="n">
        <f aca="false">SUM(B7:M7)</f>
        <v>564298.8</v>
      </c>
    </row>
    <row r="8" customFormat="false" ht="15" hidden="false" customHeight="false" outlineLevel="0" collapsed="false">
      <c r="A8" s="0" t="s">
        <v>224</v>
      </c>
      <c r="B8" s="13" t="n">
        <f aca="false">'03 Revenue Budget'!B6*0.9</f>
        <v>35375.7456</v>
      </c>
      <c r="C8" s="13" t="n">
        <f aca="false">'03 Revenue Budget'!C6*0.9</f>
        <v>41271.7032</v>
      </c>
      <c r="D8" s="13" t="n">
        <f aca="false">'03 Revenue Budget'!D6*0.9</f>
        <v>47167.6608</v>
      </c>
      <c r="E8" s="13" t="n">
        <f aca="false">'03 Revenue Budget'!E6*0.9</f>
        <v>47167.6608</v>
      </c>
      <c r="F8" s="13" t="n">
        <f aca="false">'03 Revenue Budget'!F6*0.9</f>
        <v>53063.6184</v>
      </c>
      <c r="G8" s="13" t="n">
        <f aca="false">'03 Revenue Budget'!G6*0.9</f>
        <v>53063.6184</v>
      </c>
      <c r="H8" s="13" t="n">
        <f aca="false">'03 Revenue Budget'!H6*0.9</f>
        <v>58959.576</v>
      </c>
      <c r="I8" s="13" t="n">
        <f aca="false">'03 Revenue Budget'!I6*0.9</f>
        <v>58959.576</v>
      </c>
      <c r="J8" s="13" t="n">
        <f aca="false">'03 Revenue Budget'!J6*0.9</f>
        <v>53063.6184</v>
      </c>
      <c r="K8" s="13" t="n">
        <f aca="false">'03 Revenue Budget'!K6*0.9</f>
        <v>53063.6184</v>
      </c>
      <c r="L8" s="13" t="n">
        <f aca="false">'03 Revenue Budget'!L6*0.9</f>
        <v>47167.6608</v>
      </c>
      <c r="M8" s="13" t="n">
        <f aca="false">'03 Revenue Budget'!M6*0.9</f>
        <v>41271.7032</v>
      </c>
      <c r="N8" s="13" t="n">
        <f aca="false">SUM(B8:M8)</f>
        <v>589595.76</v>
      </c>
    </row>
    <row r="9" customFormat="false" ht="15" hidden="false" customHeight="false" outlineLevel="0" collapsed="false">
      <c r="A9" s="0" t="s">
        <v>63</v>
      </c>
      <c r="B9" s="13" t="n">
        <f aca="false">'03 Revenue Budget'!B7</f>
        <v>7000</v>
      </c>
      <c r="C9" s="13" t="n">
        <f aca="false">'03 Revenue Budget'!C7</f>
        <v>7023.33333333333</v>
      </c>
      <c r="D9" s="13" t="n">
        <f aca="false">'03 Revenue Budget'!D7</f>
        <v>7046.74444444445</v>
      </c>
      <c r="E9" s="13" t="n">
        <f aca="false">'03 Revenue Budget'!E7</f>
        <v>7070.23359259259</v>
      </c>
      <c r="F9" s="13" t="n">
        <f aca="false">'03 Revenue Budget'!F7</f>
        <v>7093.80103790124</v>
      </c>
      <c r="G9" s="13" t="n">
        <f aca="false">'03 Revenue Budget'!G7</f>
        <v>7117.44704136091</v>
      </c>
      <c r="H9" s="13" t="n">
        <f aca="false">'03 Revenue Budget'!H7</f>
        <v>7141.17186483211</v>
      </c>
      <c r="I9" s="13" t="n">
        <f aca="false">'03 Revenue Budget'!I7</f>
        <v>7164.97577104822</v>
      </c>
      <c r="J9" s="13" t="n">
        <f aca="false">'03 Revenue Budget'!J7</f>
        <v>7188.85902361838</v>
      </c>
      <c r="K9" s="13" t="n">
        <f aca="false">'03 Revenue Budget'!K7</f>
        <v>7212.82188703044</v>
      </c>
      <c r="L9" s="13" t="n">
        <f aca="false">'03 Revenue Budget'!L7</f>
        <v>7236.86462665388</v>
      </c>
      <c r="M9" s="13" t="n">
        <f aca="false">'03 Revenue Budget'!M7</f>
        <v>7260.98750874273</v>
      </c>
      <c r="N9" s="13" t="n">
        <f aca="false">SUM(B9:M9)</f>
        <v>85557.2401315583</v>
      </c>
    </row>
    <row r="10" customFormat="false" ht="15" hidden="false" customHeight="false" outlineLevel="0" collapsed="false">
      <c r="A10" s="0" t="s">
        <v>225</v>
      </c>
      <c r="B10" s="13" t="n">
        <f aca="false">'03 Revenue Budget'!B8+'03 Revenue Budget'!B9+'03 Revenue Budget'!B10</f>
        <v>8850</v>
      </c>
      <c r="C10" s="13" t="n">
        <f aca="false">'03 Revenue Budget'!C8+'03 Revenue Budget'!C9+'03 Revenue Budget'!C10</f>
        <v>8865</v>
      </c>
      <c r="D10" s="13" t="n">
        <f aca="false">'03 Revenue Budget'!D8+'03 Revenue Budget'!D9+'03 Revenue Budget'!D10</f>
        <v>8880.05</v>
      </c>
      <c r="E10" s="13" t="n">
        <f aca="false">'03 Revenue Budget'!E8+'03 Revenue Budget'!E9+'03 Revenue Budget'!E10</f>
        <v>8895.15016666667</v>
      </c>
      <c r="F10" s="13" t="n">
        <f aca="false">'03 Revenue Budget'!F8+'03 Revenue Budget'!F9+'03 Revenue Budget'!F10</f>
        <v>8910.30066722222</v>
      </c>
      <c r="G10" s="13" t="n">
        <f aca="false">'03 Revenue Budget'!G8+'03 Revenue Budget'!G9+'03 Revenue Budget'!G10</f>
        <v>8925.5016694463</v>
      </c>
      <c r="H10" s="13" t="n">
        <f aca="false">'03 Revenue Budget'!H8+'03 Revenue Budget'!H9+'03 Revenue Budget'!H10</f>
        <v>8940.75334167779</v>
      </c>
      <c r="I10" s="13" t="n">
        <f aca="false">'03 Revenue Budget'!I8+'03 Revenue Budget'!I9+'03 Revenue Budget'!I10</f>
        <v>8956.05585281671</v>
      </c>
      <c r="J10" s="13" t="n">
        <f aca="false">'03 Revenue Budget'!J8+'03 Revenue Budget'!J9+'03 Revenue Budget'!J10</f>
        <v>8971.4093723261</v>
      </c>
      <c r="K10" s="13" t="n">
        <f aca="false">'03 Revenue Budget'!K8+'03 Revenue Budget'!K9+'03 Revenue Budget'!K10</f>
        <v>8986.81407023386</v>
      </c>
      <c r="L10" s="13" t="n">
        <f aca="false">'03 Revenue Budget'!L8+'03 Revenue Budget'!L9+'03 Revenue Budget'!L10</f>
        <v>9002.27011713463</v>
      </c>
      <c r="M10" s="13" t="n">
        <f aca="false">'03 Revenue Budget'!M8+'03 Revenue Budget'!M9+'03 Revenue Budget'!M10</f>
        <v>9017.77768419175</v>
      </c>
      <c r="N10" s="13" t="n">
        <f aca="false">SUM(B10:M10)</f>
        <v>107201.082941716</v>
      </c>
    </row>
    <row r="11" customFormat="false" ht="15" hidden="false" customHeight="false" outlineLevel="0" collapsed="false">
      <c r="A11" s="0" t="s">
        <v>226</v>
      </c>
      <c r="B11" s="15" t="n">
        <f aca="false">SUM(B7:B10)</f>
        <v>85083.6736</v>
      </c>
      <c r="C11" s="15" t="n">
        <f aca="false">SUM(C7:C10)</f>
        <v>96660.9525333333</v>
      </c>
      <c r="D11" s="15" t="n">
        <f aca="false">SUM(D7:D10)</f>
        <v>108238.359244444</v>
      </c>
      <c r="E11" s="15" t="n">
        <f aca="false">SUM(E7:E10)</f>
        <v>108276.948559259</v>
      </c>
      <c r="F11" s="15" t="n">
        <f aca="false">SUM(F7:F10)</f>
        <v>119854.612105123</v>
      </c>
      <c r="G11" s="15" t="n">
        <f aca="false">SUM(G7:G10)</f>
        <v>119893.459110807</v>
      </c>
      <c r="H11" s="15" t="n">
        <f aca="false">SUM(H7:H10)</f>
        <v>131471.38120651</v>
      </c>
      <c r="I11" s="15" t="n">
        <f aca="false">SUM(I7:I10)</f>
        <v>131510.487623865</v>
      </c>
      <c r="J11" s="15" t="n">
        <f aca="false">SUM(J7:J10)</f>
        <v>120010.778795944</v>
      </c>
      <c r="K11" s="15" t="n">
        <f aca="false">SUM(K7:K10)</f>
        <v>120050.146357264</v>
      </c>
      <c r="L11" s="15" t="n">
        <f aca="false">SUM(L7:L10)</f>
        <v>108550.699543789</v>
      </c>
      <c r="M11" s="15" t="n">
        <f aca="false">SUM(M7:M10)</f>
        <v>97051.3843929345</v>
      </c>
      <c r="N11" s="15" t="n">
        <f aca="false">SUM(B11:M11)</f>
        <v>1346652.88307327</v>
      </c>
    </row>
    <row r="12" customFormat="false" ht="15" hidden="false" customHeight="false" outlineLevel="0" collapsed="false">
      <c r="A12" s="0" t="s">
        <v>227</v>
      </c>
      <c r="N12" s="13" t="n">
        <f aca="false">SUM(B12:M12)</f>
        <v>0</v>
      </c>
    </row>
    <row r="13" customFormat="false" ht="15" hidden="false" customHeight="false" outlineLevel="0" collapsed="false">
      <c r="A13" s="0" t="s">
        <v>228</v>
      </c>
      <c r="B13" s="13" t="n">
        <f aca="false">99_Helper!B45-99_Helper!B44</f>
        <v>48241.572</v>
      </c>
      <c r="C13" s="13" t="n">
        <f aca="false">99_Helper!C45-99_Helper!C44</f>
        <v>42598.584</v>
      </c>
      <c r="D13" s="13" t="n">
        <f aca="false">99_Helper!D45-99_Helper!D44</f>
        <v>48684.096</v>
      </c>
      <c r="E13" s="13" t="n">
        <f aca="false">99_Helper!E45-99_Helper!E44</f>
        <v>48684.096</v>
      </c>
      <c r="F13" s="13" t="n">
        <f aca="false">99_Helper!F45-99_Helper!F44</f>
        <v>54769.608</v>
      </c>
      <c r="G13" s="13" t="n">
        <f aca="false">99_Helper!G45-99_Helper!G44</f>
        <v>54769.608</v>
      </c>
      <c r="H13" s="13" t="n">
        <f aca="false">99_Helper!H45-99_Helper!H44</f>
        <v>49126.62</v>
      </c>
      <c r="I13" s="13" t="n">
        <f aca="false">99_Helper!I45-99_Helper!I44</f>
        <v>60855.12</v>
      </c>
      <c r="J13" s="13" t="n">
        <f aca="false">99_Helper!J45-99_Helper!J44</f>
        <v>66498.108</v>
      </c>
      <c r="K13" s="13" t="n">
        <f aca="false">99_Helper!K45-99_Helper!K44</f>
        <v>54769.608</v>
      </c>
      <c r="L13" s="13" t="n">
        <f aca="false">99_Helper!L45-99_Helper!L44</f>
        <v>48684.096</v>
      </c>
      <c r="M13" s="13" t="n">
        <f aca="false">99_Helper!M45-99_Helper!M44</f>
        <v>30870.084</v>
      </c>
      <c r="N13" s="13" t="n">
        <f aca="false">SUM(B13:M13)</f>
        <v>608551.2</v>
      </c>
    </row>
    <row r="14" customFormat="false" ht="15" hidden="false" customHeight="false" outlineLevel="0" collapsed="false">
      <c r="A14" s="0" t="s">
        <v>229</v>
      </c>
      <c r="B14" s="13" t="n">
        <f aca="false">'06 Sales and Marketing Budget'!B10</f>
        <v>665</v>
      </c>
      <c r="C14" s="13" t="n">
        <f aca="false">'06 Sales and Marketing Budget'!C10</f>
        <v>665</v>
      </c>
      <c r="D14" s="13" t="n">
        <f aca="false">'06 Sales and Marketing Budget'!D10</f>
        <v>760</v>
      </c>
      <c r="E14" s="13" t="n">
        <f aca="false">'06 Sales and Marketing Budget'!E10</f>
        <v>760</v>
      </c>
      <c r="F14" s="13" t="n">
        <f aca="false">'06 Sales and Marketing Budget'!F10</f>
        <v>855</v>
      </c>
      <c r="G14" s="13" t="n">
        <f aca="false">'06 Sales and Marketing Budget'!G10</f>
        <v>855</v>
      </c>
      <c r="H14" s="13" t="n">
        <f aca="false">'06 Sales and Marketing Budget'!H10</f>
        <v>950</v>
      </c>
      <c r="I14" s="13" t="n">
        <f aca="false">'06 Sales and Marketing Budget'!I10</f>
        <v>950</v>
      </c>
      <c r="J14" s="13" t="n">
        <f aca="false">'06 Sales and Marketing Budget'!J10</f>
        <v>855</v>
      </c>
      <c r="K14" s="13" t="n">
        <f aca="false">'06 Sales and Marketing Budget'!K10</f>
        <v>760</v>
      </c>
      <c r="L14" s="13" t="n">
        <f aca="false">'06 Sales and Marketing Budget'!L10</f>
        <v>760</v>
      </c>
      <c r="M14" s="13" t="n">
        <f aca="false">'06 Sales and Marketing Budget'!M10</f>
        <v>665</v>
      </c>
      <c r="N14" s="13" t="n">
        <f aca="false">SUM(B14:M14)</f>
        <v>9500</v>
      </c>
    </row>
    <row r="15" customFormat="false" ht="15" hidden="false" customHeight="false" outlineLevel="0" collapsed="false">
      <c r="A15" s="0" t="s">
        <v>230</v>
      </c>
      <c r="B15" s="13" t="n">
        <f aca="false">'07 Corporate Opex'!B15</f>
        <v>8706.44</v>
      </c>
      <c r="C15" s="13" t="n">
        <f aca="false">'07 Corporate Opex'!C15</f>
        <v>8707.04</v>
      </c>
      <c r="D15" s="13" t="n">
        <f aca="false">'07 Corporate Opex'!D15</f>
        <v>8707.642</v>
      </c>
      <c r="E15" s="13" t="n">
        <f aca="false">'07 Corporate Opex'!E15</f>
        <v>8708.24600666667</v>
      </c>
      <c r="F15" s="13" t="n">
        <f aca="false">'07 Corporate Opex'!F15</f>
        <v>8708.85202668889</v>
      </c>
      <c r="G15" s="13" t="n">
        <f aca="false">'07 Corporate Opex'!G15</f>
        <v>8709.46006677785</v>
      </c>
      <c r="H15" s="13" t="n">
        <f aca="false">'07 Corporate Opex'!H15</f>
        <v>8710.07013366711</v>
      </c>
      <c r="I15" s="13" t="n">
        <f aca="false">'07 Corporate Opex'!I15</f>
        <v>8710.68223411267</v>
      </c>
      <c r="J15" s="13" t="n">
        <f aca="false">'07 Corporate Opex'!J15</f>
        <v>8711.29637489305</v>
      </c>
      <c r="K15" s="13" t="n">
        <f aca="false">'07 Corporate Opex'!K15</f>
        <v>8711.91256280935</v>
      </c>
      <c r="L15" s="13" t="n">
        <f aca="false">'07 Corporate Opex'!L15</f>
        <v>8712.53080468539</v>
      </c>
      <c r="M15" s="13" t="n">
        <f aca="false">'07 Corporate Opex'!M15</f>
        <v>12858.4311073677</v>
      </c>
      <c r="N15" s="13" t="n">
        <f aca="false">SUM(B15:M15)</f>
        <v>108662.603317669</v>
      </c>
    </row>
    <row r="16" customFormat="false" ht="15" hidden="false" customHeight="false" outlineLevel="0" collapsed="false">
      <c r="A16" s="0" t="s">
        <v>231</v>
      </c>
      <c r="B16" s="13" t="n">
        <f aca="false">(99_Helper!B48-28000)+(99_Helper!B49-60000)-(99_Helper!B50-40000)-(99_Helper!B51-15000)</f>
        <v>-32514.61272</v>
      </c>
      <c r="C16" s="13" t="n">
        <f aca="false">(99_Helper!C48-99_Helper!B48)+(99_Helper!C49-99_Helper!B49)-(99_Helper!C50-99_Helper!B50)-(99_Helper!C51-99_Helper!B51)</f>
        <v>32533.8725466667</v>
      </c>
      <c r="D16" s="13" t="n">
        <f aca="false">(99_Helper!D48-99_Helper!C48)+(99_Helper!D49-99_Helper!C49)-(99_Helper!D50-99_Helper!C50)-(99_Helper!D51-99_Helper!C51)</f>
        <v>26377.4489688889</v>
      </c>
      <c r="E16" s="13" t="n">
        <f aca="false">(99_Helper!E48-99_Helper!D48)+(99_Helper!E49-99_Helper!D49)-(99_Helper!E50-99_Helper!D50)-(99_Helper!E51-99_Helper!D51)</f>
        <v>38073.5294725185</v>
      </c>
      <c r="F16" s="13" t="n">
        <f aca="false">(99_Helper!F48-99_Helper!E48)+(99_Helper!F49-99_Helper!E49)-(99_Helper!F50-99_Helper!E50)-(99_Helper!F51-99_Helper!E51)</f>
        <v>31973.3794374269</v>
      </c>
      <c r="G16" s="13" t="n">
        <f aca="false">(99_Helper!G48-99_Helper!F48)+(99_Helper!G49-99_Helper!F49)-(99_Helper!G50-99_Helper!F50)-(99_Helper!G51-99_Helper!F51)</f>
        <v>43669.3030826183</v>
      </c>
      <c r="H16" s="13" t="n">
        <f aca="false">(99_Helper!H48-99_Helper!G48)+(99_Helper!H49-99_Helper!G49)-(99_Helper!H50-99_Helper!G50)-(99_Helper!H51-99_Helper!G51)</f>
        <v>49297.4956662271</v>
      </c>
      <c r="I16" s="13" t="n">
        <f aca="false">(99_Helper!I48-99_Helper!H48)+(99_Helper!I49-99_Helper!H49)-(99_Helper!I50-99_Helper!H50)-(99_Helper!I51-99_Helper!H51)</f>
        <v>37536.2614055145</v>
      </c>
      <c r="J16" s="13" t="n">
        <f aca="false">(99_Helper!J48-99_Helper!I48)+(99_Helper!J49-99_Helper!I49)-(99_Helper!J50-99_Helper!I50)-(99_Helper!J51-99_Helper!I51)</f>
        <v>43588.9597968662</v>
      </c>
      <c r="K16" s="13" t="n">
        <f aca="false">(99_Helper!K48-99_Helper!J48)+(99_Helper!K49-99_Helper!J49)-(99_Helper!K50-99_Helper!J50)-(99_Helper!K51-99_Helper!J51)</f>
        <v>55349.9263357891</v>
      </c>
      <c r="L16" s="13" t="n">
        <f aca="false">(99_Helper!L48-99_Helper!K48)+(99_Helper!L49-99_Helper!K49)-(99_Helper!L50-99_Helper!K50)-(99_Helper!L51-99_Helper!K51)</f>
        <v>49578.9652369083</v>
      </c>
      <c r="M16" s="13" t="n">
        <f aca="false">(99_Helper!M48-99_Helper!L48)+(99_Helper!M49-99_Helper!L49)-(99_Helper!M50-99_Helper!L50)-(99_Helper!M51-99_Helper!L51)</f>
        <v>53615.2138739647</v>
      </c>
      <c r="N16" s="13" t="n">
        <f aca="false">SUM(B16:M16)</f>
        <v>429079.743103389</v>
      </c>
    </row>
    <row r="17" customFormat="false" ht="15" hidden="false" customHeight="false" outlineLevel="0" collapsed="false">
      <c r="A17" s="0" t="s">
        <v>232</v>
      </c>
      <c r="B17" s="15" t="n">
        <f aca="false">SUM(B13:B16)</f>
        <v>25098.39928</v>
      </c>
      <c r="C17" s="15" t="n">
        <f aca="false">SUM(C13:C16)</f>
        <v>84504.4965466667</v>
      </c>
      <c r="D17" s="15" t="n">
        <f aca="false">SUM(D13:D16)</f>
        <v>84529.1869688889</v>
      </c>
      <c r="E17" s="15" t="n">
        <f aca="false">SUM(E13:E16)</f>
        <v>96225.8714791852</v>
      </c>
      <c r="F17" s="15" t="n">
        <f aca="false">SUM(F13:F16)</f>
        <v>96306.8394641158</v>
      </c>
      <c r="G17" s="15" t="n">
        <f aca="false">SUM(G13:G16)</f>
        <v>108003.371149396</v>
      </c>
      <c r="H17" s="15" t="n">
        <f aca="false">SUM(H13:H16)</f>
        <v>108084.185799894</v>
      </c>
      <c r="I17" s="15" t="n">
        <f aca="false">SUM(I13:I16)</f>
        <v>108052.063639627</v>
      </c>
      <c r="J17" s="15" t="n">
        <f aca="false">SUM(J13:J16)</f>
        <v>119653.364171759</v>
      </c>
      <c r="K17" s="15" t="n">
        <f aca="false">SUM(K13:K16)</f>
        <v>119591.446898598</v>
      </c>
      <c r="L17" s="15" t="n">
        <f aca="false">SUM(L13:L16)</f>
        <v>107735.592041594</v>
      </c>
      <c r="M17" s="15" t="n">
        <f aca="false">SUM(M13:M16)</f>
        <v>98008.7289813324</v>
      </c>
      <c r="N17" s="15" t="n">
        <f aca="false">SUM(B17:M17)</f>
        <v>1155793.54642106</v>
      </c>
    </row>
    <row r="18" customFormat="false" ht="15" hidden="false" customHeight="false" outlineLevel="0" collapsed="false">
      <c r="A18" s="0" t="s">
        <v>233</v>
      </c>
      <c r="B18" s="15" t="n">
        <f aca="false">B11-B17</f>
        <v>59985.27432</v>
      </c>
      <c r="C18" s="15" t="n">
        <f aca="false">C11-C17</f>
        <v>12156.4559866667</v>
      </c>
      <c r="D18" s="15" t="n">
        <f aca="false">D11-D17</f>
        <v>23709.1722755556</v>
      </c>
      <c r="E18" s="15" t="n">
        <f aca="false">E11-E17</f>
        <v>12051.0770800741</v>
      </c>
      <c r="F18" s="15" t="n">
        <f aca="false">F11-F17</f>
        <v>23547.7726410076</v>
      </c>
      <c r="G18" s="15" t="n">
        <f aca="false">G11-G17</f>
        <v>11890.087961411</v>
      </c>
      <c r="H18" s="15" t="n">
        <f aca="false">H11-H17</f>
        <v>23387.1954066157</v>
      </c>
      <c r="I18" s="15" t="n">
        <f aca="false">I11-I17</f>
        <v>23458.4239842378</v>
      </c>
      <c r="J18" s="15" t="n">
        <f aca="false">J11-J17</f>
        <v>357.414624185243</v>
      </c>
      <c r="K18" s="15" t="n">
        <f aca="false">K11-K17</f>
        <v>458.69945866584</v>
      </c>
      <c r="L18" s="15" t="n">
        <f aca="false">L11-L17</f>
        <v>815.107502194791</v>
      </c>
      <c r="M18" s="15" t="n">
        <f aca="false">M11-M17</f>
        <v>-957.3445883979</v>
      </c>
      <c r="N18" s="15" t="n">
        <f aca="false">SUM(B18:M18)</f>
        <v>190859.336652216</v>
      </c>
    </row>
    <row r="19" customFormat="false" ht="15" hidden="false" customHeight="false" outlineLevel="0" collapsed="false">
      <c r="A19" s="0" t="s">
        <v>234</v>
      </c>
      <c r="N19" s="13" t="n">
        <f aca="false">SUM(B19:M19)</f>
        <v>0</v>
      </c>
    </row>
    <row r="20" customFormat="false" ht="15" hidden="false" customHeight="false" outlineLevel="0" collapsed="false">
      <c r="A20" s="0" t="s">
        <v>235</v>
      </c>
      <c r="B20" s="13" t="n">
        <f aca="false">'09 CapEx Budget'!B10</f>
        <v>40950</v>
      </c>
      <c r="C20" s="13" t="n">
        <f aca="false">'09 CapEx Budget'!C10</f>
        <v>6950</v>
      </c>
      <c r="D20" s="13" t="n">
        <f aca="false">'09 CapEx Budget'!D10</f>
        <v>8950</v>
      </c>
      <c r="E20" s="13" t="n">
        <f aca="false">'09 CapEx Budget'!E10</f>
        <v>3950</v>
      </c>
      <c r="F20" s="13" t="n">
        <f aca="false">'09 CapEx Budget'!F10</f>
        <v>1950</v>
      </c>
      <c r="G20" s="13" t="n">
        <f aca="false">'09 CapEx Budget'!G10</f>
        <v>4950</v>
      </c>
      <c r="H20" s="13" t="n">
        <f aca="false">'09 CapEx Budget'!H10</f>
        <v>1950</v>
      </c>
      <c r="I20" s="13" t="n">
        <f aca="false">'09 CapEx Budget'!I10</f>
        <v>1950</v>
      </c>
      <c r="J20" s="13" t="n">
        <f aca="false">'09 CapEx Budget'!J10</f>
        <v>4950</v>
      </c>
      <c r="K20" s="13" t="n">
        <f aca="false">'09 CapEx Budget'!K10</f>
        <v>21950</v>
      </c>
      <c r="L20" s="13" t="n">
        <f aca="false">'09 CapEx Budget'!L10</f>
        <v>1950</v>
      </c>
      <c r="M20" s="13" t="n">
        <f aca="false">'09 CapEx Budget'!M10</f>
        <v>4950</v>
      </c>
      <c r="N20" s="13" t="n">
        <f aca="false">SUM(B20:M20)</f>
        <v>105400</v>
      </c>
    </row>
    <row r="21" customFormat="false" ht="15" hidden="false" customHeight="false" outlineLevel="0" collapsed="false">
      <c r="A21" s="0" t="s">
        <v>236</v>
      </c>
      <c r="B21" s="15" t="n">
        <f aca="false">-B20</f>
        <v>-40950</v>
      </c>
      <c r="C21" s="15" t="n">
        <f aca="false">-C20</f>
        <v>-6950</v>
      </c>
      <c r="D21" s="15" t="n">
        <f aca="false">-D20</f>
        <v>-8950</v>
      </c>
      <c r="E21" s="15" t="n">
        <f aca="false">-E20</f>
        <v>-3950</v>
      </c>
      <c r="F21" s="15" t="n">
        <f aca="false">-F20</f>
        <v>-1950</v>
      </c>
      <c r="G21" s="15" t="n">
        <f aca="false">-G20</f>
        <v>-4950</v>
      </c>
      <c r="H21" s="15" t="n">
        <f aca="false">-H20</f>
        <v>-1950</v>
      </c>
      <c r="I21" s="15" t="n">
        <f aca="false">-I20</f>
        <v>-1950</v>
      </c>
      <c r="J21" s="15" t="n">
        <f aca="false">-J20</f>
        <v>-4950</v>
      </c>
      <c r="K21" s="15" t="n">
        <f aca="false">-K20</f>
        <v>-21950</v>
      </c>
      <c r="L21" s="15" t="n">
        <f aca="false">-L20</f>
        <v>-1950</v>
      </c>
      <c r="M21" s="15" t="n">
        <f aca="false">-M20</f>
        <v>-4950</v>
      </c>
      <c r="N21" s="15" t="n">
        <f aca="false">SUM(B21:M21)</f>
        <v>-105400</v>
      </c>
    </row>
    <row r="22" customFormat="false" ht="15" hidden="false" customHeight="false" outlineLevel="0" collapsed="false">
      <c r="A22" s="0" t="s">
        <v>237</v>
      </c>
      <c r="N22" s="13" t="n">
        <f aca="false">SUM(B22:M22)</f>
        <v>0</v>
      </c>
    </row>
    <row r="23" customFormat="false" ht="15" hidden="false" customHeight="false" outlineLevel="0" collapsed="false">
      <c r="A23" s="0" t="s">
        <v>238</v>
      </c>
      <c r="B23" s="13" t="n">
        <f aca="false">SUM('10 Financing Cost'!B7,'10 Financing Cost'!B16,'10 Financing Cost'!B25,'10 Financing Cost'!B34,'10 Financing Cost'!B43,'10 Financing Cost'!B52)</f>
        <v>26708.7074</v>
      </c>
      <c r="C23" s="13" t="n">
        <f aca="false">SUM('10 Financing Cost'!C7,'10 Financing Cost'!C16,'10 Financing Cost'!C25,'10 Financing Cost'!C34,'10 Financing Cost'!C43,'10 Financing Cost'!C52)</f>
        <v>24169.3628</v>
      </c>
      <c r="D23" s="13" t="n">
        <f aca="false">SUM('10 Financing Cost'!D7,'10 Financing Cost'!D16,'10 Financing Cost'!D25,'10 Financing Cost'!D34,'10 Financing Cost'!D43,'10 Financing Cost'!D52)</f>
        <v>31907.8432</v>
      </c>
      <c r="E23" s="13" t="n">
        <f aca="false">SUM('10 Financing Cost'!E7,'10 Financing Cost'!E16,'10 Financing Cost'!E25,'10 Financing Cost'!E34,'10 Financing Cost'!E43,'10 Financing Cost'!E52)</f>
        <v>36907.8432</v>
      </c>
      <c r="F23" s="13" t="n">
        <f aca="false">SUM('10 Financing Cost'!F7,'10 Financing Cost'!F16,'10 Financing Cost'!F25,'10 Financing Cost'!F34,'10 Financing Cost'!F43,'10 Financing Cost'!F52)</f>
        <v>34646.3236</v>
      </c>
      <c r="G23" s="13" t="n">
        <f aca="false">SUM('10 Financing Cost'!G7,'10 Financing Cost'!G16,'10 Financing Cost'!G25,'10 Financing Cost'!G34,'10 Financing Cost'!G43,'10 Financing Cost'!G52)</f>
        <v>24646.3236</v>
      </c>
      <c r="H23" s="13" t="n">
        <f aca="false">SUM('10 Financing Cost'!H7,'10 Financing Cost'!H16,'10 Financing Cost'!H25,'10 Financing Cost'!H34,'10 Financing Cost'!H43,'10 Financing Cost'!H52)</f>
        <v>22106.979</v>
      </c>
      <c r="I23" s="13" t="n">
        <f aca="false">SUM('10 Financing Cost'!I7,'10 Financing Cost'!I16,'10 Financing Cost'!I25,'10 Financing Cost'!I34,'10 Financing Cost'!I43,'10 Financing Cost'!I52)</f>
        <v>32384.804</v>
      </c>
      <c r="J23" s="13" t="n">
        <f aca="false">SUM('10 Financing Cost'!J7,'10 Financing Cost'!J16,'10 Financing Cost'!J25,'10 Financing Cost'!J34,'10 Financing Cost'!J43,'10 Financing Cost'!J52)</f>
        <v>29924.1486</v>
      </c>
      <c r="K23" s="13" t="n">
        <f aca="false">SUM('10 Financing Cost'!K7,'10 Financing Cost'!K16,'10 Financing Cost'!K25,'10 Financing Cost'!K34,'10 Financing Cost'!K43,'10 Financing Cost'!K52)</f>
        <v>24646.3236</v>
      </c>
      <c r="L23" s="13" t="n">
        <f aca="false">SUM('10 Financing Cost'!L7,'10 Financing Cost'!L16,'10 Financing Cost'!L25,'10 Financing Cost'!L34,'10 Financing Cost'!L43,'10 Financing Cost'!L52)</f>
        <v>21907.8432</v>
      </c>
      <c r="M23" s="13" t="n">
        <f aca="false">SUM('10 Financing Cost'!M7,'10 Financing Cost'!M16,'10 Financing Cost'!M25,'10 Financing Cost'!M34,'10 Financing Cost'!M43,'10 Financing Cost'!M52)</f>
        <v>13891.5378</v>
      </c>
      <c r="N23" s="13" t="n">
        <f aca="false">SUM(B23:M23)</f>
        <v>323848.04</v>
      </c>
    </row>
    <row r="24" customFormat="false" ht="15" hidden="false" customHeight="false" outlineLevel="0" collapsed="false">
      <c r="A24" s="0" t="s">
        <v>239</v>
      </c>
      <c r="B24" s="13" t="n">
        <f aca="false">SUM('10 Financing Cost'!B9,'10 Financing Cost'!B18,'10 Financing Cost'!B27,'10 Financing Cost'!B36,'10 Financing Cost'!B45,'10 Financing Cost'!B54,'10 Financing Cost'!B60,'10 Financing Cost'!B61,'10 Financing Cost'!B62)</f>
        <v>7398.33333333333</v>
      </c>
      <c r="C24" s="13" t="n">
        <f aca="false">SUM('10 Financing Cost'!C9,'10 Financing Cost'!C18,'10 Financing Cost'!C27,'10 Financing Cost'!C36,'10 Financing Cost'!C45,'10 Financing Cost'!C54,'10 Financing Cost'!C60,'10 Financing Cost'!C61,'10 Financing Cost'!C62)</f>
        <v>5066.07967986667</v>
      </c>
      <c r="D24" s="13" t="n">
        <f aca="false">SUM('10 Financing Cost'!D9,'10 Financing Cost'!D18,'10 Financing Cost'!D27,'10 Financing Cost'!D36,'10 Financing Cost'!D45,'10 Financing Cost'!D54,'10 Financing Cost'!D60,'10 Financing Cost'!D61,'10 Financing Cost'!D62)</f>
        <v>5218.873394225</v>
      </c>
      <c r="E24" s="13" t="n">
        <f aca="false">SUM('10 Financing Cost'!E9,'10 Financing Cost'!E18,'10 Financing Cost'!E27,'10 Financing Cost'!E36,'10 Financing Cost'!E45,'10 Financing Cost'!E54,'10 Financing Cost'!E60,'10 Financing Cost'!E61,'10 Financing Cost'!E62)</f>
        <v>5412.84002015833</v>
      </c>
      <c r="F24" s="13" t="n">
        <f aca="false">SUM('10 Financing Cost'!F9,'10 Financing Cost'!F18,'10 Financing Cost'!F27,'10 Financing Cost'!F36,'10 Financing Cost'!F45,'10 Financing Cost'!F54,'10 Financing Cost'!F60,'10 Financing Cost'!F61,'10 Financing Cost'!F62)</f>
        <v>5639.09831275833</v>
      </c>
      <c r="G24" s="13" t="n">
        <f aca="false">SUM('10 Financing Cost'!G9,'10 Financing Cost'!G18,'10 Financing Cost'!G27,'10 Financing Cost'!G36,'10 Financing Cost'!G45,'10 Financing Cost'!G54,'10 Financing Cost'!G60,'10 Financing Cost'!G61,'10 Financing Cost'!G62)</f>
        <v>8349.23785026667</v>
      </c>
      <c r="H24" s="13" t="n">
        <f aca="false">SUM('10 Financing Cost'!H9,'10 Financing Cost'!H18,'10 Financing Cost'!H27,'10 Financing Cost'!H36,'10 Financing Cost'!H45,'10 Financing Cost'!H54,'10 Financing Cost'!H60,'10 Financing Cost'!H61,'10 Financing Cost'!H62)</f>
        <v>5962.502387775</v>
      </c>
      <c r="I24" s="13" t="n">
        <f aca="false">SUM('10 Financing Cost'!I9,'10 Financing Cost'!I18,'10 Financing Cost'!I27,'10 Financing Cost'!I36,'10 Financing Cost'!I45,'10 Financing Cost'!I54,'10 Financing Cost'!I60,'10 Financing Cost'!I61,'10 Financing Cost'!I62)</f>
        <v>6028.52262644167</v>
      </c>
      <c r="J24" s="13" t="n">
        <f aca="false">SUM('10 Financing Cost'!J9,'10 Financing Cost'!J18,'10 Financing Cost'!J27,'10 Financing Cost'!J36,'10 Financing Cost'!J45,'10 Financing Cost'!J54,'10 Financing Cost'!J60,'10 Financing Cost'!J61,'10 Financing Cost'!J62)</f>
        <v>6222.54340885833</v>
      </c>
      <c r="K24" s="13" t="n">
        <f aca="false">SUM('10 Financing Cost'!K9,'10 Financing Cost'!K18,'10 Financing Cost'!K27,'10 Financing Cost'!K36,'10 Financing Cost'!K45,'10 Financing Cost'!K54,'10 Financing Cost'!K60,'10 Financing Cost'!K61,'10 Financing Cost'!K62)</f>
        <v>6366.93349011667</v>
      </c>
      <c r="L24" s="13" t="n">
        <f aca="false">SUM('10 Financing Cost'!L9,'10 Financing Cost'!L18,'10 Financing Cost'!L27,'10 Financing Cost'!L36,'10 Financing Cost'!L45,'10 Financing Cost'!L54,'10 Financing Cost'!L60,'10 Financing Cost'!L61,'10 Financing Cost'!L62)</f>
        <v>6353.90636095833</v>
      </c>
      <c r="M24" s="13" t="n">
        <f aca="false">SUM('10 Financing Cost'!M9,'10 Financing Cost'!M18,'10 Financing Cost'!M27,'10 Financing Cost'!M36,'10 Financing Cost'!M45,'10 Financing Cost'!M54,'10 Financing Cost'!M60,'10 Financing Cost'!M61,'10 Financing Cost'!M62)</f>
        <v>6356.99798689167</v>
      </c>
      <c r="N24" s="13" t="n">
        <f aca="false">SUM(B24:M24)</f>
        <v>74375.86885165</v>
      </c>
    </row>
    <row r="25" customFormat="false" ht="15" hidden="false" customHeight="false" outlineLevel="0" collapsed="false">
      <c r="A25" s="0" t="s">
        <v>240</v>
      </c>
      <c r="B25" s="13" t="n">
        <f aca="false">SUM('10 Financing Cost'!B10,'10 Financing Cost'!B19,'10 Financing Cost'!B28,'10 Financing Cost'!B37,'10 Financing Cost'!B46,'10 Financing Cost'!B55)</f>
        <v>0</v>
      </c>
      <c r="C25" s="13" t="n">
        <f aca="false">SUM('10 Financing Cost'!C10,'10 Financing Cost'!C19,'10 Financing Cost'!C28,'10 Financing Cost'!C37,'10 Financing Cost'!C46,'10 Financing Cost'!C55)</f>
        <v>0</v>
      </c>
      <c r="D25" s="13" t="n">
        <f aca="false">SUM('10 Financing Cost'!D10,'10 Financing Cost'!D19,'10 Financing Cost'!D28,'10 Financing Cost'!D37,'10 Financing Cost'!D46,'10 Financing Cost'!D55)</f>
        <v>0</v>
      </c>
      <c r="E25" s="13" t="n">
        <f aca="false">SUM('10 Financing Cost'!E10,'10 Financing Cost'!E19,'10 Financing Cost'!E28,'10 Financing Cost'!E37,'10 Financing Cost'!E46,'10 Financing Cost'!E55)</f>
        <v>0</v>
      </c>
      <c r="F25" s="13" t="n">
        <f aca="false">SUM('10 Financing Cost'!F10,'10 Financing Cost'!F19,'10 Financing Cost'!F28,'10 Financing Cost'!F37,'10 Financing Cost'!F46,'10 Financing Cost'!F55)</f>
        <v>0</v>
      </c>
      <c r="G25" s="13" t="n">
        <f aca="false">SUM('10 Financing Cost'!G10,'10 Financing Cost'!G19,'10 Financing Cost'!G28,'10 Financing Cost'!G37,'10 Financing Cost'!G46,'10 Financing Cost'!G55)</f>
        <v>5000</v>
      </c>
      <c r="H25" s="13" t="n">
        <f aca="false">SUM('10 Financing Cost'!H10,'10 Financing Cost'!H19,'10 Financing Cost'!H28,'10 Financing Cost'!H37,'10 Financing Cost'!H46,'10 Financing Cost'!H55)</f>
        <v>10000</v>
      </c>
      <c r="I25" s="13" t="n">
        <f aca="false">SUM('10 Financing Cost'!I10,'10 Financing Cost'!I19,'10 Financing Cost'!I28,'10 Financing Cost'!I37,'10 Financing Cost'!I46,'10 Financing Cost'!I55)</f>
        <v>0</v>
      </c>
      <c r="J25" s="13" t="n">
        <f aca="false">SUM('10 Financing Cost'!J10,'10 Financing Cost'!J19,'10 Financing Cost'!J28,'10 Financing Cost'!J37,'10 Financing Cost'!J46,'10 Financing Cost'!J55)</f>
        <v>5000</v>
      </c>
      <c r="K25" s="13" t="n">
        <f aca="false">SUM('10 Financing Cost'!K10,'10 Financing Cost'!K19,'10 Financing Cost'!K28,'10 Financing Cost'!K37,'10 Financing Cost'!K46,'10 Financing Cost'!K55)</f>
        <v>26000</v>
      </c>
      <c r="L25" s="13" t="n">
        <f aca="false">SUM('10 Financing Cost'!L10,'10 Financing Cost'!L19,'10 Financing Cost'!L28,'10 Financing Cost'!L37,'10 Financing Cost'!L46,'10 Financing Cost'!L55)</f>
        <v>21000</v>
      </c>
      <c r="M25" s="13" t="n">
        <f aca="false">SUM('10 Financing Cost'!M10,'10 Financing Cost'!M19,'10 Financing Cost'!M28,'10 Financing Cost'!M37,'10 Financing Cost'!M46,'10 Financing Cost'!M55)</f>
        <v>21000</v>
      </c>
      <c r="N25" s="13" t="n">
        <f aca="false">SUM(B25:M25)</f>
        <v>88000</v>
      </c>
    </row>
    <row r="26" customFormat="false" ht="15" hidden="false" customHeight="false" outlineLevel="0" collapsed="false">
      <c r="A26" s="0" t="s">
        <v>241</v>
      </c>
      <c r="B26" s="15" t="n">
        <f aca="false">B23-B24-B25</f>
        <v>19310.3740666667</v>
      </c>
      <c r="C26" s="15" t="n">
        <f aca="false">C23-C24-C25</f>
        <v>19103.2831201333</v>
      </c>
      <c r="D26" s="15" t="n">
        <f aca="false">D23-D24-D25</f>
        <v>26688.969805775</v>
      </c>
      <c r="E26" s="15" t="n">
        <f aca="false">E23-E24-E25</f>
        <v>31495.0031798417</v>
      </c>
      <c r="F26" s="15" t="n">
        <f aca="false">F23-F24-F25</f>
        <v>29007.2252872417</v>
      </c>
      <c r="G26" s="15" t="n">
        <f aca="false">G23-G24-G25</f>
        <v>11297.0857497333</v>
      </c>
      <c r="H26" s="15" t="n">
        <f aca="false">H23-H24-H25</f>
        <v>6144.476612225</v>
      </c>
      <c r="I26" s="15" t="n">
        <f aca="false">I23-I24-I25</f>
        <v>26356.2813735583</v>
      </c>
      <c r="J26" s="15" t="n">
        <f aca="false">J23-J24-J25</f>
        <v>18701.6051911417</v>
      </c>
      <c r="K26" s="15" t="n">
        <f aca="false">K23-K24-K25</f>
        <v>-7720.60989011666</v>
      </c>
      <c r="L26" s="15" t="n">
        <f aca="false">L23-L24-L25</f>
        <v>-5446.06316095834</v>
      </c>
      <c r="M26" s="15" t="n">
        <f aca="false">M23-M24-M25</f>
        <v>-13465.4601868917</v>
      </c>
      <c r="N26" s="15" t="n">
        <f aca="false">SUM(B26:M26)</f>
        <v>161472.17114835</v>
      </c>
    </row>
    <row r="27" customFormat="false" ht="15" hidden="false" customHeight="false" outlineLevel="0" collapsed="false">
      <c r="A27" s="0" t="s">
        <v>242</v>
      </c>
      <c r="B27" s="15" t="n">
        <f aca="false">B18+B21+B26</f>
        <v>38345.6483866667</v>
      </c>
      <c r="C27" s="15" t="n">
        <f aca="false">C18+C21+C26</f>
        <v>24309.7391068</v>
      </c>
      <c r="D27" s="15" t="n">
        <f aca="false">D18+D21+D26</f>
        <v>41448.1420813306</v>
      </c>
      <c r="E27" s="15" t="n">
        <f aca="false">E18+E21+E26</f>
        <v>39596.0802599157</v>
      </c>
      <c r="F27" s="15" t="n">
        <f aca="false">F18+F21+F26</f>
        <v>50604.9979282493</v>
      </c>
      <c r="G27" s="15" t="n">
        <f aca="false">G18+G21+G26</f>
        <v>18237.1737111443</v>
      </c>
      <c r="H27" s="15" t="n">
        <f aca="false">H18+H21+H26</f>
        <v>27581.6720188407</v>
      </c>
      <c r="I27" s="15" t="n">
        <f aca="false">I18+I21+I26</f>
        <v>47864.7053577961</v>
      </c>
      <c r="J27" s="15" t="n">
        <f aca="false">J18+J21+J26</f>
        <v>14109.0198153269</v>
      </c>
      <c r="K27" s="15" t="n">
        <f aca="false">K18+K21+K26</f>
        <v>-29211.9104314508</v>
      </c>
      <c r="L27" s="15" t="n">
        <f aca="false">L18+L21+L26</f>
        <v>-6580.95565876355</v>
      </c>
      <c r="M27" s="15" t="n">
        <f aca="false">M18+M21+M26</f>
        <v>-19372.8047752896</v>
      </c>
      <c r="N27" s="15" t="n">
        <f aca="false">SUM(B27:M27)</f>
        <v>246931.507800566</v>
      </c>
    </row>
    <row r="28" customFormat="false" ht="15" hidden="false" customHeight="false" outlineLevel="0" collapsed="false">
      <c r="A28" s="0" t="s">
        <v>243</v>
      </c>
      <c r="B28" s="15" t="n">
        <f aca="false">B5+B27</f>
        <v>133345.648386667</v>
      </c>
      <c r="C28" s="15" t="n">
        <f aca="false">C5+C27</f>
        <v>157655.387493467</v>
      </c>
      <c r="D28" s="15" t="n">
        <f aca="false">D5+D27</f>
        <v>199103.529574797</v>
      </c>
      <c r="E28" s="15" t="n">
        <f aca="false">E5+E27</f>
        <v>238699.609834713</v>
      </c>
      <c r="F28" s="15" t="n">
        <f aca="false">F5+F27</f>
        <v>289304.607762962</v>
      </c>
      <c r="G28" s="15" t="n">
        <f aca="false">G5+G27</f>
        <v>307541.781474107</v>
      </c>
      <c r="H28" s="15" t="n">
        <f aca="false">H5+H27</f>
        <v>335123.453492947</v>
      </c>
      <c r="I28" s="15" t="n">
        <f aca="false">I5+I27</f>
        <v>382988.158850743</v>
      </c>
      <c r="J28" s="15" t="n">
        <f aca="false">J5+J27</f>
        <v>397097.17866607</v>
      </c>
      <c r="K28" s="15" t="n">
        <f aca="false">K5+K27</f>
        <v>367885.268234619</v>
      </c>
      <c r="L28" s="15" t="n">
        <f aca="false">L5+L27</f>
        <v>361304.312575856</v>
      </c>
      <c r="M28" s="15" t="n">
        <f aca="false">M5+M27</f>
        <v>341931.507800566</v>
      </c>
      <c r="N28" s="15" t="n">
        <f aca="false">SUM(B28:M28)</f>
        <v>3511980.44414752</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14" min="2" style="0" width="11"/>
  </cols>
  <sheetData>
    <row r="1" customFormat="false" ht="18.55" hidden="false" customHeight="false" outlineLevel="0" collapsed="false">
      <c r="A1" s="1" t="s">
        <v>244</v>
      </c>
      <c r="B1" s="1"/>
      <c r="C1" s="1"/>
      <c r="D1" s="1"/>
      <c r="E1" s="1"/>
      <c r="F1" s="1"/>
      <c r="G1" s="1"/>
      <c r="H1" s="1"/>
      <c r="I1" s="1"/>
      <c r="J1" s="1"/>
      <c r="K1" s="1"/>
      <c r="L1" s="1"/>
      <c r="M1" s="1"/>
      <c r="N1" s="1"/>
      <c r="O1" s="1"/>
    </row>
    <row r="2" customFormat="false" ht="15" hidden="false" customHeight="false" outlineLevel="0" collapsed="false">
      <c r="A2" s="2" t="s">
        <v>245</v>
      </c>
      <c r="B2" s="2"/>
      <c r="C2" s="2"/>
      <c r="D2" s="2"/>
      <c r="E2" s="2"/>
      <c r="F2" s="2"/>
      <c r="G2" s="2"/>
      <c r="H2" s="2"/>
      <c r="I2" s="2"/>
      <c r="J2" s="2"/>
      <c r="K2" s="2"/>
      <c r="L2" s="2"/>
      <c r="M2" s="2"/>
      <c r="N2" s="2"/>
      <c r="O2" s="2"/>
    </row>
    <row r="4" customFormat="false" ht="31.3" hidden="false" customHeight="false" outlineLevel="0" collapsed="false">
      <c r="A4" s="3" t="s">
        <v>2</v>
      </c>
      <c r="B4" s="3" t="s">
        <v>78</v>
      </c>
      <c r="C4" s="3" t="s">
        <v>79</v>
      </c>
      <c r="D4" s="3" t="s">
        <v>80</v>
      </c>
      <c r="E4" s="3" t="s">
        <v>81</v>
      </c>
      <c r="F4" s="3" t="s">
        <v>82</v>
      </c>
      <c r="G4" s="3" t="s">
        <v>83</v>
      </c>
      <c r="H4" s="3" t="s">
        <v>84</v>
      </c>
      <c r="I4" s="3" t="s">
        <v>85</v>
      </c>
      <c r="J4" s="3" t="s">
        <v>86</v>
      </c>
      <c r="K4" s="3" t="s">
        <v>87</v>
      </c>
      <c r="L4" s="3" t="s">
        <v>88</v>
      </c>
      <c r="M4" s="3" t="s">
        <v>89</v>
      </c>
      <c r="N4" s="3" t="s">
        <v>246</v>
      </c>
    </row>
    <row r="5" customFormat="false" ht="15" hidden="false" customHeight="false" outlineLevel="0" collapsed="false">
      <c r="A5" s="0" t="s">
        <v>247</v>
      </c>
      <c r="B5" s="13" t="n">
        <f aca="false">99_Helper!B48</f>
        <v>412.67928</v>
      </c>
      <c r="C5" s="13" t="n">
        <f aca="false">99_Helper!C48</f>
        <v>469.26916</v>
      </c>
      <c r="D5" s="13" t="n">
        <f aca="false">99_Helper!D48</f>
        <v>525.859573333333</v>
      </c>
      <c r="E5" s="13" t="n">
        <f aca="false">99_Helper!E48</f>
        <v>526.020641777778</v>
      </c>
      <c r="F5" s="13" t="n">
        <f aca="false">99_Helper!F48</f>
        <v>582.612127117037</v>
      </c>
      <c r="G5" s="13" t="n">
        <f aca="false">99_Helper!G48</f>
        <v>582.77427114076</v>
      </c>
      <c r="H5" s="13" t="n">
        <f aca="false">99_Helper!H48</f>
        <v>639.366835644563</v>
      </c>
      <c r="I5" s="13" t="n">
        <f aca="false">99_Helper!I48</f>
        <v>639.530062430045</v>
      </c>
      <c r="J5" s="13" t="n">
        <f aca="false">99_Helper!J48</f>
        <v>583.263953304812</v>
      </c>
      <c r="K5" s="13" t="n">
        <f aca="false">99_Helper!K48</f>
        <v>583.428270082495</v>
      </c>
      <c r="L5" s="13" t="n">
        <f aca="false">99_Helper!L48</f>
        <v>527.16325458277</v>
      </c>
      <c r="M5" s="13" t="n">
        <f aca="false">99_Helper!M48</f>
        <v>470.898788631379</v>
      </c>
      <c r="N5" s="13" t="n">
        <f aca="false">AVERAGE(B5:M5)</f>
        <v>545.238851503748</v>
      </c>
    </row>
    <row r="6" customFormat="false" ht="15" hidden="false" customHeight="false" outlineLevel="0" collapsed="false">
      <c r="A6" s="0" t="s">
        <v>248</v>
      </c>
      <c r="B6" s="13" t="n">
        <f aca="false">99_Helper!B49</f>
        <v>86857.928</v>
      </c>
      <c r="C6" s="13" t="n">
        <f aca="false">99_Helper!C49</f>
        <v>119335.510666667</v>
      </c>
      <c r="D6" s="13" t="n">
        <f aca="false">99_Helper!D49</f>
        <v>157432.670222222</v>
      </c>
      <c r="E6" s="13" t="n">
        <f aca="false">99_Helper!E49</f>
        <v>195506.34062963</v>
      </c>
      <c r="F6" s="13" t="n">
        <f aca="false">99_Helper!F49</f>
        <v>239199.431591728</v>
      </c>
      <c r="G6" s="13" t="n">
        <f aca="false">99_Helper!G49</f>
        <v>282868.876550368</v>
      </c>
      <c r="H6" s="13" t="n">
        <f aca="false">99_Helper!H49</f>
        <v>332157.584685535</v>
      </c>
      <c r="I6" s="13" t="n">
        <f aca="false">99_Helper!I49</f>
        <v>381422.488914487</v>
      </c>
      <c r="J6" s="13" t="n">
        <f aca="false">99_Helper!J49</f>
        <v>425020.521890869</v>
      </c>
      <c r="K6" s="13" t="n">
        <f aca="false">99_Helper!K49</f>
        <v>468594.592003838</v>
      </c>
      <c r="L6" s="13" t="n">
        <f aca="false">99_Helper!L49</f>
        <v>506501.631377184</v>
      </c>
      <c r="M6" s="13" t="n">
        <f aca="false">99_Helper!M49</f>
        <v>538741.559868442</v>
      </c>
      <c r="N6" s="13" t="n">
        <f aca="false">AVERAGE(B6:M6)</f>
        <v>311136.594700081</v>
      </c>
    </row>
    <row r="7" customFormat="false" ht="15" hidden="false" customHeight="false" outlineLevel="0" collapsed="false">
      <c r="A7" s="0" t="s">
        <v>249</v>
      </c>
      <c r="B7" s="13" t="n">
        <f aca="false">99_Helper!B50</f>
        <v>82099.5</v>
      </c>
      <c r="C7" s="13" t="n">
        <f aca="false">99_Helper!C50</f>
        <v>82099.5</v>
      </c>
      <c r="D7" s="13" t="n">
        <f aca="false">99_Helper!D50</f>
        <v>93828</v>
      </c>
      <c r="E7" s="13" t="n">
        <f aca="false">99_Helper!E50</f>
        <v>93828</v>
      </c>
      <c r="F7" s="13" t="n">
        <f aca="false">99_Helper!F50</f>
        <v>105556.5</v>
      </c>
      <c r="G7" s="13" t="n">
        <f aca="false">99_Helper!G50</f>
        <v>105556.5</v>
      </c>
      <c r="H7" s="13" t="n">
        <f aca="false">99_Helper!H50</f>
        <v>105556.5</v>
      </c>
      <c r="I7" s="13" t="n">
        <f aca="false">99_Helper!I50</f>
        <v>117285</v>
      </c>
      <c r="J7" s="13" t="n">
        <f aca="false">99_Helper!J50</f>
        <v>117285</v>
      </c>
      <c r="K7" s="13" t="n">
        <f aca="false">99_Helper!K50</f>
        <v>105556.5</v>
      </c>
      <c r="L7" s="13" t="n">
        <f aca="false">99_Helper!L50</f>
        <v>93828</v>
      </c>
      <c r="M7" s="13" t="n">
        <f aca="false">99_Helper!M50</f>
        <v>70371</v>
      </c>
      <c r="N7" s="13" t="n">
        <f aca="false">AVERAGE(B7:M7)</f>
        <v>97737.5</v>
      </c>
    </row>
    <row r="8" customFormat="false" ht="15" hidden="false" customHeight="false" outlineLevel="0" collapsed="false">
      <c r="A8" s="0" t="s">
        <v>250</v>
      </c>
      <c r="B8" s="13" t="n">
        <f aca="false">99_Helper!B51</f>
        <v>4685.72</v>
      </c>
      <c r="C8" s="13" t="n">
        <f aca="false">99_Helper!C51</f>
        <v>4686.02</v>
      </c>
      <c r="D8" s="13" t="n">
        <f aca="false">99_Helper!D51</f>
        <v>4733.821</v>
      </c>
      <c r="E8" s="13" t="n">
        <f aca="false">99_Helper!E51</f>
        <v>4734.12300333333</v>
      </c>
      <c r="F8" s="13" t="n">
        <f aca="false">99_Helper!F51</f>
        <v>4781.92601334444</v>
      </c>
      <c r="G8" s="13" t="n">
        <f aca="false">99_Helper!G51</f>
        <v>4782.23003338893</v>
      </c>
      <c r="H8" s="13" t="n">
        <f aca="false">99_Helper!H51</f>
        <v>4830.03506683356</v>
      </c>
      <c r="I8" s="13" t="n">
        <f aca="false">99_Helper!I51</f>
        <v>4830.34111705633</v>
      </c>
      <c r="J8" s="13" t="n">
        <f aca="false">99_Helper!J51</f>
        <v>4783.14818744652</v>
      </c>
      <c r="K8" s="13" t="n">
        <f aca="false">99_Helper!K51</f>
        <v>4735.95628140468</v>
      </c>
      <c r="L8" s="13" t="n">
        <f aca="false">99_Helper!L51</f>
        <v>4736.26540234269</v>
      </c>
      <c r="M8" s="13" t="n">
        <f aca="false">99_Helper!M51</f>
        <v>6761.71555368384</v>
      </c>
      <c r="N8" s="13" t="n">
        <f aca="false">AVERAGE(B8:M8)</f>
        <v>4923.44180490286</v>
      </c>
    </row>
    <row r="9" customFormat="false" ht="15" hidden="false" customHeight="false" outlineLevel="0" collapsed="false">
      <c r="A9" s="0" t="s">
        <v>251</v>
      </c>
      <c r="B9" s="13" t="n">
        <f aca="false">B5-B6-B7-B8</f>
        <v>-173230.46872</v>
      </c>
      <c r="C9" s="13" t="n">
        <f aca="false">C5-C6-C7-C8</f>
        <v>-205651.761506667</v>
      </c>
      <c r="D9" s="13" t="n">
        <f aca="false">D5-D6-D7-D8</f>
        <v>-255468.631648889</v>
      </c>
      <c r="E9" s="13" t="n">
        <f aca="false">E5-E6-E7-E8</f>
        <v>-293542.442991185</v>
      </c>
      <c r="F9" s="13" t="n">
        <f aca="false">F5-F6-F7-F8</f>
        <v>-348955.245477956</v>
      </c>
      <c r="G9" s="13" t="n">
        <f aca="false">G5-G6-G7-G8</f>
        <v>-392624.832312616</v>
      </c>
      <c r="H9" s="13" t="n">
        <f aca="false">H5-H6-H7-H8</f>
        <v>-441904.752916724</v>
      </c>
      <c r="I9" s="13" t="n">
        <f aca="false">I5-I6-I7-I8</f>
        <v>-502898.299969113</v>
      </c>
      <c r="J9" s="13" t="n">
        <f aca="false">J5-J6-J7-J8</f>
        <v>-546505.406125011</v>
      </c>
      <c r="K9" s="13" t="n">
        <f aca="false">K5-K6-K7-K8</f>
        <v>-578303.620015161</v>
      </c>
      <c r="L9" s="13" t="n">
        <f aca="false">L5-L6-L7-L8</f>
        <v>-604538.733524944</v>
      </c>
      <c r="M9" s="13" t="n">
        <f aca="false">M5-M6-M7-M8</f>
        <v>-615403.376633494</v>
      </c>
      <c r="N9" s="18" t="n">
        <f aca="false">AVERAGE(B9:M9)</f>
        <v>-413252.29765348</v>
      </c>
    </row>
  </sheetData>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8"/>
    <col collapsed="false" customWidth="true" hidden="false" outlineLevel="0" max="4" min="4" style="0" width="12"/>
    <col collapsed="false" customWidth="true" hidden="false" outlineLevel="0" max="6" min="5" style="0" width="16"/>
    <col collapsed="false" customWidth="true" hidden="false" outlineLevel="0" max="7" min="7" style="0" width="14"/>
    <col collapsed="false" customWidth="true" hidden="false" outlineLevel="0" max="19" min="8" style="0" width="10"/>
  </cols>
  <sheetData>
    <row r="1" customFormat="false" ht="18.55" hidden="false" customHeight="false" outlineLevel="0" collapsed="false">
      <c r="A1" s="1" t="s">
        <v>252</v>
      </c>
      <c r="B1" s="1"/>
      <c r="C1" s="1"/>
      <c r="D1" s="1"/>
      <c r="E1" s="1"/>
      <c r="F1" s="1"/>
      <c r="G1" s="1"/>
      <c r="H1" s="1"/>
      <c r="I1" s="1"/>
      <c r="J1" s="1"/>
      <c r="K1" s="1"/>
      <c r="L1" s="1"/>
      <c r="M1" s="1"/>
      <c r="N1" s="1"/>
      <c r="O1" s="1"/>
      <c r="P1" s="1"/>
      <c r="Q1" s="1"/>
    </row>
    <row r="2" customFormat="false" ht="15" hidden="false" customHeight="false" outlineLevel="0" collapsed="false">
      <c r="A2" s="2" t="s">
        <v>253</v>
      </c>
      <c r="B2" s="2"/>
      <c r="C2" s="2"/>
      <c r="D2" s="2"/>
      <c r="E2" s="2"/>
      <c r="F2" s="2"/>
      <c r="G2" s="2"/>
      <c r="H2" s="2"/>
      <c r="I2" s="2"/>
      <c r="J2" s="2"/>
      <c r="K2" s="2"/>
      <c r="L2" s="2"/>
      <c r="M2" s="2"/>
      <c r="N2" s="2"/>
      <c r="O2" s="2"/>
      <c r="P2" s="2"/>
      <c r="Q2" s="2"/>
    </row>
    <row r="4" customFormat="false" ht="31.3" hidden="false" customHeight="false" outlineLevel="0" collapsed="false">
      <c r="A4" s="3" t="s">
        <v>254</v>
      </c>
      <c r="B4" s="3" t="s">
        <v>255</v>
      </c>
      <c r="C4" s="3" t="s">
        <v>256</v>
      </c>
      <c r="D4" s="3" t="s">
        <v>257</v>
      </c>
      <c r="E4" s="3" t="s">
        <v>258</v>
      </c>
      <c r="F4" s="3" t="s">
        <v>259</v>
      </c>
      <c r="G4" s="3" t="s">
        <v>260</v>
      </c>
      <c r="H4" s="3" t="s">
        <v>261</v>
      </c>
      <c r="I4" s="3" t="s">
        <v>262</v>
      </c>
      <c r="J4" s="3" t="s">
        <v>263</v>
      </c>
      <c r="K4" s="3" t="s">
        <v>264</v>
      </c>
      <c r="L4" s="3" t="s">
        <v>265</v>
      </c>
      <c r="M4" s="3" t="s">
        <v>266</v>
      </c>
      <c r="N4" s="3" t="s">
        <v>267</v>
      </c>
      <c r="O4" s="3" t="s">
        <v>268</v>
      </c>
      <c r="P4" s="3" t="s">
        <v>269</v>
      </c>
      <c r="Q4" s="3" t="s">
        <v>270</v>
      </c>
      <c r="R4" s="3" t="s">
        <v>271</v>
      </c>
      <c r="S4" s="3" t="s">
        <v>272</v>
      </c>
    </row>
    <row r="5" customFormat="false" ht="15" hidden="false" customHeight="false" outlineLevel="0" collapsed="false">
      <c r="A5" s="0" t="s">
        <v>273</v>
      </c>
      <c r="B5" s="0" t="s">
        <v>274</v>
      </c>
      <c r="C5" s="0" t="s">
        <v>103</v>
      </c>
      <c r="D5" s="22" t="n">
        <v>0.071</v>
      </c>
      <c r="E5" s="21" t="n">
        <v>180000</v>
      </c>
      <c r="F5" s="21" t="n">
        <v>244000</v>
      </c>
      <c r="G5" s="0" t="s">
        <v>275</v>
      </c>
      <c r="H5" s="13" t="n">
        <f aca="false">E5+'10 Financing Cost'!B6-'10 Financing Cost'!B9</f>
        <v>358935</v>
      </c>
      <c r="I5" s="13" t="n">
        <f aca="false">H5+'10 Financing Cost'!C6-'10 Financing Cost'!C9</f>
        <v>543623.39546925</v>
      </c>
      <c r="J5" s="13" t="n">
        <f aca="false">I5+'10 Financing Cost'!D6-'10 Financing Cost'!D9</f>
        <v>733243.12323075</v>
      </c>
      <c r="K5" s="13" t="n">
        <f aca="false">J5+'10 Financing Cost'!E6-'10 Financing Cost'!E9</f>
        <v>928498.65932625</v>
      </c>
      <c r="L5" s="13" t="n">
        <f aca="false">K5+'10 Financing Cost'!F6-'10 Financing Cost'!F9</f>
        <v>1129390.00375575</v>
      </c>
      <c r="M5" s="13" t="n">
        <f aca="false">L5+'10 Financing Cost'!G6-'10 Financing Cost'!G9</f>
        <v>1336621.632561</v>
      </c>
      <c r="N5" s="13" t="n">
        <f aca="false">M5+'10 Financing Cost'!H6-'10 Financing Cost'!H9</f>
        <v>1550193.545742</v>
      </c>
      <c r="O5" s="13" t="n">
        <f aca="false">N5+'10 Financing Cost'!I6-'10 Financing Cost'!I9</f>
        <v>1769283.68012175</v>
      </c>
      <c r="P5" s="13" t="n">
        <f aca="false">O5+'10 Financing Cost'!J6-'10 Financing Cost'!J9</f>
        <v>1995418.574919</v>
      </c>
      <c r="Q5" s="13" t="n">
        <f aca="false">P5+'10 Financing Cost'!K6-'10 Financing Cost'!K9</f>
        <v>2229420.29331075</v>
      </c>
      <c r="R5" s="13" t="n">
        <f aca="false">Q5+'10 Financing Cost'!L6-'10 Financing Cost'!L9</f>
        <v>2465785.96274492</v>
      </c>
      <c r="S5" s="13" t="n">
        <f aca="false">R5+'10 Financing Cost'!M6-'10 Financing Cost'!M9</f>
        <v>2703811.10717975</v>
      </c>
    </row>
    <row r="6" customFormat="false" ht="15" hidden="false" customHeight="false" outlineLevel="0" collapsed="false">
      <c r="A6" s="0" t="s">
        <v>276</v>
      </c>
      <c r="B6" s="0" t="s">
        <v>274</v>
      </c>
      <c r="C6" s="0" t="s">
        <v>105</v>
      </c>
      <c r="D6" s="22" t="n">
        <v>0.068</v>
      </c>
      <c r="E6" s="21" t="n">
        <v>140000</v>
      </c>
      <c r="F6" s="21" t="n">
        <v>171000</v>
      </c>
      <c r="G6" s="0" t="s">
        <v>277</v>
      </c>
      <c r="H6" s="13" t="n">
        <f aca="false">E6+'10 Financing Cost'!B12-'10 Financing Cost'!B15</f>
        <v>0</v>
      </c>
      <c r="I6" s="13" t="n">
        <f aca="false">H6+'10 Financing Cost'!C12-'10 Financing Cost'!C15</f>
        <v>-144205.196</v>
      </c>
      <c r="J6" s="13" t="n">
        <f aca="false">I6+'10 Financing Cost'!D12-'10 Financing Cost'!D15</f>
        <v>-292059.604</v>
      </c>
      <c r="K6" s="13" t="n">
        <f aca="false">J6+'10 Financing Cost'!E12-'10 Financing Cost'!E15</f>
        <v>-444084.54</v>
      </c>
      <c r="L6" s="13" t="n">
        <f aca="false">K6+'10 Financing Cost'!F12-'10 Financing Cost'!F15</f>
        <v>-600280.004</v>
      </c>
      <c r="M6" s="13" t="n">
        <f aca="false">L6+'10 Financing Cost'!G12-'10 Financing Cost'!G15</f>
        <v>-761167.312</v>
      </c>
      <c r="N6" s="13" t="n">
        <f aca="false">M6+'10 Financing Cost'!H12-'10 Financing Cost'!H15</f>
        <v>-926746.464</v>
      </c>
      <c r="O6" s="13" t="n">
        <f aca="false">N6+'10 Financing Cost'!I12-'10 Financing Cost'!I15</f>
        <v>-1096461.476</v>
      </c>
      <c r="P6" s="13" t="n">
        <f aca="false">O6+'10 Financing Cost'!J12-'10 Financing Cost'!J15</f>
        <v>-1271389.648</v>
      </c>
      <c r="Q6" s="13" t="n">
        <f aca="false">P6+'10 Financing Cost'!K12-'10 Financing Cost'!K15</f>
        <v>-1452086.964</v>
      </c>
      <c r="R6" s="13" t="n">
        <f aca="false">Q6+'10 Financing Cost'!L12-'10 Financing Cost'!L15</f>
        <v>-1633476.124</v>
      </c>
      <c r="S6" s="13" t="n">
        <f aca="false">R6+'10 Financing Cost'!M12-'10 Financing Cost'!M15</f>
        <v>-1815035.812</v>
      </c>
    </row>
    <row r="7" customFormat="false" ht="15" hidden="false" customHeight="false" outlineLevel="0" collapsed="false">
      <c r="A7" s="0" t="s">
        <v>278</v>
      </c>
      <c r="B7" s="0" t="s">
        <v>274</v>
      </c>
      <c r="C7" s="0" t="s">
        <v>107</v>
      </c>
      <c r="D7" s="22" t="n">
        <v>0.0695</v>
      </c>
      <c r="E7" s="21" t="n">
        <v>125000</v>
      </c>
      <c r="F7" s="21" t="n">
        <v>184000</v>
      </c>
      <c r="G7" s="0" t="s">
        <v>279</v>
      </c>
      <c r="H7" s="13" t="n">
        <f aca="false">E7+'10 Financing Cost'!B18-'10 Financing Cost'!B21</f>
        <v>125793.333333333</v>
      </c>
      <c r="I7" s="13" t="n">
        <f aca="false">H7+'10 Financing Cost'!C18-'10 Financing Cost'!C21</f>
        <v>126610.496110667</v>
      </c>
      <c r="J7" s="13" t="n">
        <f aca="false">I7+'10 Financing Cost'!D18-'10 Financing Cost'!D21</f>
        <v>127448.337756</v>
      </c>
      <c r="K7" s="13" t="n">
        <f aca="false">J7+'10 Financing Cost'!E18-'10 Financing Cost'!E21</f>
        <v>128309.812393333</v>
      </c>
      <c r="L7" s="13" t="n">
        <f aca="false">K7+'10 Financing Cost'!F18-'10 Financing Cost'!F21</f>
        <v>129194.920022667</v>
      </c>
      <c r="M7" s="13" t="n">
        <f aca="false">L7+'10 Financing Cost'!G18-'10 Financing Cost'!G21</f>
        <v>130106.614768</v>
      </c>
      <c r="N7" s="13" t="n">
        <f aca="false">M7+'10 Financing Cost'!H18-'10 Financing Cost'!H21</f>
        <v>131044.896629333</v>
      </c>
      <c r="O7" s="13" t="n">
        <f aca="false">N7+'10 Financing Cost'!I18-'10 Financing Cost'!I21</f>
        <v>132006.615030667</v>
      </c>
      <c r="P7" s="13" t="n">
        <f aca="false">O7+'10 Financing Cost'!J18-'10 Financing Cost'!J21</f>
        <v>132997.874672</v>
      </c>
      <c r="Q7" s="13" t="n">
        <f aca="false">P7+'10 Financing Cost'!K18-'10 Financing Cost'!K21</f>
        <v>134021.826129333</v>
      </c>
      <c r="R7" s="13" t="n">
        <f aca="false">Q7+'10 Financing Cost'!L18-'10 Financing Cost'!L21</f>
        <v>135049.698036</v>
      </c>
      <c r="S7" s="13" t="n">
        <f aca="false">R7+'10 Financing Cost'!M18-'10 Financing Cost'!M21</f>
        <v>136078.536268</v>
      </c>
    </row>
    <row r="8" customFormat="false" ht="15" hidden="false" customHeight="false" outlineLevel="0" collapsed="false">
      <c r="A8" s="0" t="s">
        <v>280</v>
      </c>
      <c r="B8" s="0" t="s">
        <v>274</v>
      </c>
      <c r="C8" s="0" t="s">
        <v>109</v>
      </c>
      <c r="D8" s="22" t="n">
        <v>0.0735</v>
      </c>
      <c r="E8" s="21" t="n">
        <v>165000</v>
      </c>
      <c r="F8" s="21" t="n">
        <v>238000</v>
      </c>
      <c r="G8" s="0" t="s">
        <v>281</v>
      </c>
      <c r="H8" s="13" t="n">
        <f aca="false">E8+'10 Financing Cost'!B24-'10 Financing Cost'!B27</f>
        <v>289276.041666667</v>
      </c>
      <c r="I8" s="13" t="n">
        <f aca="false">H8+'10 Financing Cost'!C24-'10 Financing Cost'!C27</f>
        <v>418532.112643333</v>
      </c>
      <c r="J8" s="13" t="n">
        <f aca="false">I8+'10 Financing Cost'!D24-'10 Financing Cost'!D27</f>
        <v>552249.996749375</v>
      </c>
      <c r="K8" s="13" t="n">
        <f aca="false">J8+'10 Financing Cost'!E24-'10 Financing Cost'!E27</f>
        <v>691067.095860417</v>
      </c>
      <c r="L8" s="13" t="n">
        <f aca="false">K8+'10 Financing Cost'!F24-'10 Financing Cost'!F27</f>
        <v>834983.409976458</v>
      </c>
      <c r="M8" s="13" t="n">
        <f aca="false">L8+'10 Financing Cost'!G24-'10 Financing Cost'!G27</f>
        <v>984636.340973125</v>
      </c>
      <c r="N8" s="13" t="n">
        <f aca="false">M8+'10 Financing Cost'!H24-'10 Financing Cost'!H27</f>
        <v>1140025.88885042</v>
      </c>
      <c r="O8" s="13" t="n">
        <f aca="false">N8+'10 Financing Cost'!I24-'10 Financing Cost'!I27</f>
        <v>1300633.83742771</v>
      </c>
      <c r="P8" s="13" t="n">
        <f aca="false">O8+'10 Financing Cost'!J24-'10 Financing Cost'!J27</f>
        <v>1467615.80476125</v>
      </c>
      <c r="Q8" s="13" t="n">
        <f aca="false">P8+'10 Financing Cost'!K24-'10 Financing Cost'!K27</f>
        <v>1641490.00703167</v>
      </c>
      <c r="R8" s="13" t="n">
        <f aca="false">Q8+'10 Financing Cost'!L24-'10 Financing Cost'!L27</f>
        <v>1817123.99284938</v>
      </c>
      <c r="S8" s="13" t="n">
        <f aca="false">R8+'10 Financing Cost'!M24-'10 Financing Cost'!M27</f>
        <v>1993880.36033875</v>
      </c>
    </row>
    <row r="9" customFormat="false" ht="15" hidden="false" customHeight="false" outlineLevel="0" collapsed="false">
      <c r="A9" s="0" t="s">
        <v>280</v>
      </c>
      <c r="B9" s="0" t="s">
        <v>282</v>
      </c>
      <c r="C9" s="0" t="s">
        <v>210</v>
      </c>
      <c r="D9" s="22" t="n">
        <v>0.0775</v>
      </c>
      <c r="E9" s="21" t="n">
        <v>60000</v>
      </c>
      <c r="F9" s="21" t="n">
        <v>180000</v>
      </c>
      <c r="G9" s="0" t="s">
        <v>283</v>
      </c>
      <c r="H9" s="13" t="n">
        <f aca="false">E9+'10 Financing Cost'!B43-'10 Financing Cost'!B46</f>
        <v>60000</v>
      </c>
      <c r="I9" s="13" t="n">
        <f aca="false">H9+'10 Financing Cost'!C43-'10 Financing Cost'!C46</f>
        <v>60000</v>
      </c>
      <c r="J9" s="13" t="n">
        <f aca="false">I9+'10 Financing Cost'!D43-'10 Financing Cost'!D46</f>
        <v>70000</v>
      </c>
      <c r="K9" s="13" t="n">
        <f aca="false">J9+'10 Financing Cost'!E43-'10 Financing Cost'!E46</f>
        <v>85000</v>
      </c>
      <c r="L9" s="13" t="n">
        <f aca="false">K9+'10 Financing Cost'!F43-'10 Financing Cost'!F46</f>
        <v>95000</v>
      </c>
      <c r="M9" s="13" t="n">
        <f aca="false">L9+'10 Financing Cost'!G43-'10 Financing Cost'!G46</f>
        <v>90000</v>
      </c>
      <c r="N9" s="13" t="n">
        <f aca="false">M9+'10 Financing Cost'!H43-'10 Financing Cost'!H46</f>
        <v>80000</v>
      </c>
      <c r="O9" s="13" t="n">
        <f aca="false">N9+'10 Financing Cost'!I43-'10 Financing Cost'!I46</f>
        <v>85000</v>
      </c>
      <c r="P9" s="13" t="n">
        <f aca="false">O9+'10 Financing Cost'!J43-'10 Financing Cost'!J46</f>
        <v>80000</v>
      </c>
      <c r="Q9" s="13" t="n">
        <f aca="false">P9+'10 Financing Cost'!K43-'10 Financing Cost'!K46</f>
        <v>70000</v>
      </c>
      <c r="R9" s="13" t="n">
        <f aca="false">Q9+'10 Financing Cost'!L43-'10 Financing Cost'!L46</f>
        <v>65000</v>
      </c>
      <c r="S9" s="13" t="n">
        <f aca="false">R9+'10 Financing Cost'!M43-'10 Financing Cost'!M46</f>
        <v>60000</v>
      </c>
    </row>
    <row r="10" customFormat="false" ht="15" hidden="false" customHeight="false" outlineLevel="0" collapsed="false">
      <c r="A10" s="0" t="s">
        <v>284</v>
      </c>
      <c r="B10" s="0" t="s">
        <v>211</v>
      </c>
      <c r="C10" s="0" t="s">
        <v>211</v>
      </c>
      <c r="D10" s="22" t="n">
        <v>0.095</v>
      </c>
      <c r="E10" s="21" t="n">
        <v>85000</v>
      </c>
      <c r="F10" s="21" t="n">
        <v>150000</v>
      </c>
      <c r="G10" s="0" t="s">
        <v>285</v>
      </c>
      <c r="H10" s="13" t="n">
        <f aca="false">E10+'10 Financing Cost'!B52-'10 Financing Cost'!B55</f>
        <v>90000</v>
      </c>
      <c r="I10" s="13" t="n">
        <f aca="false">H10+'10 Financing Cost'!C52-'10 Financing Cost'!C55</f>
        <v>95000</v>
      </c>
      <c r="J10" s="13" t="n">
        <f aca="false">I10+'10 Financing Cost'!D52-'10 Financing Cost'!D55</f>
        <v>95000</v>
      </c>
      <c r="K10" s="13" t="n">
        <f aca="false">J10+'10 Financing Cost'!E52-'10 Financing Cost'!E55</f>
        <v>95000</v>
      </c>
      <c r="L10" s="13" t="n">
        <f aca="false">K10+'10 Financing Cost'!F52-'10 Financing Cost'!F55</f>
        <v>95000</v>
      </c>
      <c r="M10" s="13" t="n">
        <f aca="false">L10+'10 Financing Cost'!G52-'10 Financing Cost'!G55</f>
        <v>95000</v>
      </c>
      <c r="N10" s="13" t="n">
        <f aca="false">M10+'10 Financing Cost'!H52-'10 Financing Cost'!H55</f>
        <v>95000</v>
      </c>
      <c r="O10" s="13" t="n">
        <f aca="false">N10+'10 Financing Cost'!I52-'10 Financing Cost'!I55</f>
        <v>95000</v>
      </c>
      <c r="P10" s="13" t="n">
        <f aca="false">O10+'10 Financing Cost'!J52-'10 Financing Cost'!J55</f>
        <v>95000</v>
      </c>
      <c r="Q10" s="13" t="n">
        <f aca="false">P10+'10 Financing Cost'!K52-'10 Financing Cost'!K55</f>
        <v>95000</v>
      </c>
      <c r="R10" s="13" t="n">
        <f aca="false">Q10+'10 Financing Cost'!L52-'10 Financing Cost'!L55</f>
        <v>95000</v>
      </c>
      <c r="S10" s="13" t="n">
        <f aca="false">R10+'10 Financing Cost'!M52-'10 Financing Cost'!M55</f>
        <v>95000</v>
      </c>
    </row>
    <row r="12" customFormat="false" ht="15" hidden="false" customHeight="false" outlineLevel="0" collapsed="false">
      <c r="A12" s="0" t="s">
        <v>286</v>
      </c>
      <c r="B12" s="0" t="s">
        <v>287</v>
      </c>
    </row>
  </sheetData>
  <mergeCells count="2">
    <mergeCell ref="A1:Q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16" min="2" style="0" width="12"/>
  </cols>
  <sheetData>
    <row r="1" customFormat="false" ht="18.55" hidden="false" customHeight="false" outlineLevel="0" collapsed="false">
      <c r="A1" s="1" t="s">
        <v>288</v>
      </c>
      <c r="B1" s="1"/>
      <c r="C1" s="1"/>
      <c r="D1" s="1"/>
      <c r="E1" s="1"/>
      <c r="F1" s="1"/>
      <c r="G1" s="1"/>
      <c r="H1" s="1"/>
      <c r="I1" s="1"/>
      <c r="J1" s="1"/>
      <c r="K1" s="1"/>
      <c r="L1" s="1"/>
      <c r="M1" s="1"/>
      <c r="N1" s="1"/>
      <c r="O1" s="1"/>
      <c r="P1" s="1"/>
    </row>
    <row r="2" customFormat="false" ht="15" hidden="false" customHeight="false" outlineLevel="0" collapsed="false">
      <c r="A2" s="2" t="s">
        <v>289</v>
      </c>
      <c r="B2" s="2"/>
      <c r="C2" s="2"/>
      <c r="D2" s="2"/>
      <c r="E2" s="2"/>
      <c r="F2" s="2"/>
      <c r="G2" s="2"/>
      <c r="H2" s="2"/>
      <c r="I2" s="2"/>
      <c r="J2" s="2"/>
      <c r="K2" s="2"/>
      <c r="L2" s="2"/>
      <c r="M2" s="2"/>
      <c r="N2" s="2"/>
      <c r="O2" s="2"/>
      <c r="P2" s="2"/>
    </row>
    <row r="4" customFormat="false" ht="31.3" hidden="false" customHeight="false" outlineLevel="0" collapsed="false">
      <c r="A4" s="3" t="s">
        <v>290</v>
      </c>
      <c r="B4" s="3" t="s">
        <v>291</v>
      </c>
      <c r="C4" s="3" t="s">
        <v>292</v>
      </c>
      <c r="D4" s="3" t="s">
        <v>293</v>
      </c>
      <c r="E4" s="3" t="s">
        <v>294</v>
      </c>
      <c r="F4" s="3" t="s">
        <v>295</v>
      </c>
      <c r="G4" s="3" t="s">
        <v>296</v>
      </c>
      <c r="H4" s="3" t="s">
        <v>297</v>
      </c>
      <c r="I4" s="3" t="s">
        <v>298</v>
      </c>
      <c r="J4" s="3" t="s">
        <v>299</v>
      </c>
      <c r="K4" s="3" t="s">
        <v>300</v>
      </c>
      <c r="L4" s="3" t="s">
        <v>301</v>
      </c>
      <c r="M4" s="3" t="s">
        <v>302</v>
      </c>
      <c r="N4" s="3" t="s">
        <v>303</v>
      </c>
      <c r="O4" s="3" t="s">
        <v>304</v>
      </c>
      <c r="P4" s="3" t="s">
        <v>305</v>
      </c>
    </row>
    <row r="5" customFormat="false" ht="15" hidden="false" customHeight="false" outlineLevel="0" collapsed="false">
      <c r="A5" s="0" t="s">
        <v>6</v>
      </c>
      <c r="B5" s="8" t="n">
        <f aca="false">'03 Revenue Budget'!B11</f>
        <v>128709.76</v>
      </c>
      <c r="C5" s="8" t="n">
        <f aca="false">'03 Revenue Budget'!C11</f>
        <v>147558.053333333</v>
      </c>
      <c r="D5" s="8" t="n">
        <f aca="false">'03 Revenue Budget'!D11</f>
        <v>166406.474444444</v>
      </c>
      <c r="E5" s="8" t="n">
        <f aca="false">'03 Revenue Budget'!E11</f>
        <v>166445.063759259</v>
      </c>
      <c r="F5" s="8" t="n">
        <f aca="false">'03 Revenue Budget'!F11</f>
        <v>185293.741705123</v>
      </c>
      <c r="G5" s="8" t="n">
        <f aca="false">'03 Revenue Budget'!G11</f>
        <v>185332.588710807</v>
      </c>
      <c r="H5" s="8" t="n">
        <f aca="false">'03 Revenue Budget'!H11</f>
        <v>204181.52520651</v>
      </c>
      <c r="I5" s="8" t="n">
        <f aca="false">'03 Revenue Budget'!I11</f>
        <v>204220.631623865</v>
      </c>
      <c r="J5" s="8" t="n">
        <f aca="false">'03 Revenue Budget'!J11</f>
        <v>185449.908395944</v>
      </c>
      <c r="K5" s="8" t="n">
        <f aca="false">'03 Revenue Budget'!K11</f>
        <v>185489.275957264</v>
      </c>
      <c r="L5" s="8" t="n">
        <f aca="false">'03 Revenue Budget'!L11</f>
        <v>166718.814743789</v>
      </c>
      <c r="M5" s="8" t="n">
        <f aca="false">'03 Revenue Budget'!M11</f>
        <v>147948.485192935</v>
      </c>
      <c r="N5" s="18" t="n">
        <f aca="false">SUM(B5:M5)</f>
        <v>2073754.32307327</v>
      </c>
      <c r="O5" s="23"/>
      <c r="P5" s="13" t="n">
        <f aca="false">O5-N5</f>
        <v>-2073754.32307327</v>
      </c>
    </row>
    <row r="6" customFormat="false" ht="15" hidden="false" customHeight="false" outlineLevel="0" collapsed="false">
      <c r="A6" s="0" t="s">
        <v>12</v>
      </c>
      <c r="B6" s="8" t="n">
        <f aca="false">'03 Revenue Budget'!B11-'05 Construction Cost Budget'!B49</f>
        <v>46610.26</v>
      </c>
      <c r="C6" s="8" t="n">
        <f aca="false">'03 Revenue Budget'!C11-'05 Construction Cost Budget'!C49</f>
        <v>65458.5533333333</v>
      </c>
      <c r="D6" s="8" t="n">
        <f aca="false">'03 Revenue Budget'!D11-'05 Construction Cost Budget'!D49</f>
        <v>72578.4744444445</v>
      </c>
      <c r="E6" s="8" t="n">
        <f aca="false">'03 Revenue Budget'!E11-'05 Construction Cost Budget'!E49</f>
        <v>72617.0637592593</v>
      </c>
      <c r="F6" s="8" t="n">
        <f aca="false">'03 Revenue Budget'!F11-'05 Construction Cost Budget'!F49</f>
        <v>79737.2417051235</v>
      </c>
      <c r="G6" s="8" t="n">
        <f aca="false">'03 Revenue Budget'!G11-'05 Construction Cost Budget'!G49</f>
        <v>79776.0887108072</v>
      </c>
      <c r="H6" s="8" t="n">
        <f aca="false">'03 Revenue Budget'!H11-'05 Construction Cost Budget'!H49</f>
        <v>98625.0252065099</v>
      </c>
      <c r="I6" s="8" t="n">
        <f aca="false">'03 Revenue Budget'!I11-'05 Construction Cost Budget'!I49</f>
        <v>86935.6316238649</v>
      </c>
      <c r="J6" s="8" t="n">
        <f aca="false">'03 Revenue Budget'!J11-'05 Construction Cost Budget'!J49</f>
        <v>68164.9083959445</v>
      </c>
      <c r="K6" s="8" t="n">
        <f aca="false">'03 Revenue Budget'!K11-'05 Construction Cost Budget'!K49</f>
        <v>79932.7759572643</v>
      </c>
      <c r="L6" s="8" t="n">
        <f aca="false">'03 Revenue Budget'!L11-'05 Construction Cost Budget'!L49</f>
        <v>72890.8147437885</v>
      </c>
      <c r="M6" s="8" t="n">
        <f aca="false">'03 Revenue Budget'!M11-'05 Construction Cost Budget'!M49</f>
        <v>77577.4851929345</v>
      </c>
      <c r="N6" s="18" t="n">
        <f aca="false">SUM(B6:M6)</f>
        <v>900904.323073274</v>
      </c>
      <c r="O6" s="23"/>
      <c r="P6" s="13" t="n">
        <f aca="false">O6-N6</f>
        <v>-900904.323073274</v>
      </c>
    </row>
    <row r="7" customFormat="false" ht="15" hidden="false" customHeight="false" outlineLevel="0" collapsed="false">
      <c r="A7" s="0" t="s">
        <v>15</v>
      </c>
      <c r="B7" s="8" t="n">
        <f aca="false">'03 Revenue Budget'!B11-'05 Construction Cost Budget'!B49-'06 Sales and Marketing Budget'!B10-'07 Corporate Opex'!B15</f>
        <v>37238.82</v>
      </c>
      <c r="C7" s="8" t="n">
        <f aca="false">'03 Revenue Budget'!C11-'05 Construction Cost Budget'!C49-'06 Sales and Marketing Budget'!C10-'07 Corporate Opex'!C15</f>
        <v>56086.5133333333</v>
      </c>
      <c r="D7" s="8" t="n">
        <f aca="false">'03 Revenue Budget'!D11-'05 Construction Cost Budget'!D49-'06 Sales and Marketing Budget'!D10-'07 Corporate Opex'!D15</f>
        <v>63110.8324444445</v>
      </c>
      <c r="E7" s="8" t="n">
        <f aca="false">'03 Revenue Budget'!E11-'05 Construction Cost Budget'!E49-'06 Sales and Marketing Budget'!E10-'07 Corporate Opex'!E15</f>
        <v>63148.8177525926</v>
      </c>
      <c r="F7" s="8" t="n">
        <f aca="false">'03 Revenue Budget'!F11-'05 Construction Cost Budget'!F49-'06 Sales and Marketing Budget'!F10-'07 Corporate Opex'!F15</f>
        <v>70173.3896784346</v>
      </c>
      <c r="G7" s="8" t="n">
        <f aca="false">'03 Revenue Budget'!G11-'05 Construction Cost Budget'!G49-'06 Sales and Marketing Budget'!G10-'07 Corporate Opex'!G15</f>
        <v>70211.6286440293</v>
      </c>
      <c r="H7" s="8" t="n">
        <f aca="false">'03 Revenue Budget'!H11-'05 Construction Cost Budget'!H49-'06 Sales and Marketing Budget'!H10-'07 Corporate Opex'!H15</f>
        <v>88964.9550728428</v>
      </c>
      <c r="I7" s="8" t="n">
        <f aca="false">'03 Revenue Budget'!I11-'05 Construction Cost Budget'!I49-'06 Sales and Marketing Budget'!I10-'07 Corporate Opex'!I15</f>
        <v>77274.9493897523</v>
      </c>
      <c r="J7" s="8" t="n">
        <f aca="false">'03 Revenue Budget'!J11-'05 Construction Cost Budget'!J49-'06 Sales and Marketing Budget'!J10-'07 Corporate Opex'!J15</f>
        <v>58598.6120210514</v>
      </c>
      <c r="K7" s="8" t="n">
        <f aca="false">'03 Revenue Budget'!K11-'05 Construction Cost Budget'!K49-'06 Sales and Marketing Budget'!K10-'07 Corporate Opex'!K15</f>
        <v>70460.8633944549</v>
      </c>
      <c r="L7" s="8" t="n">
        <f aca="false">'03 Revenue Budget'!L11-'05 Construction Cost Budget'!L49-'06 Sales and Marketing Budget'!L10-'07 Corporate Opex'!L15</f>
        <v>63418.2839391031</v>
      </c>
      <c r="M7" s="8" t="n">
        <f aca="false">'03 Revenue Budget'!M11-'05 Construction Cost Budget'!M49-'06 Sales and Marketing Budget'!M10-'07 Corporate Opex'!M15</f>
        <v>64054.0540855668</v>
      </c>
      <c r="N7" s="18" t="n">
        <f aca="false">SUM(B7:M7)</f>
        <v>782741.719755605</v>
      </c>
      <c r="O7" s="23"/>
      <c r="P7" s="13" t="n">
        <f aca="false">O7-N7</f>
        <v>-782741.719755605</v>
      </c>
    </row>
    <row r="8" customFormat="false" ht="15" hidden="false" customHeight="false" outlineLevel="0" collapsed="false">
      <c r="A8" s="0" t="s">
        <v>18</v>
      </c>
      <c r="B8" s="8" t="n">
        <f aca="false">'06 Sales and Marketing Budget'!B10+'07 Corporate Opex'!B15</f>
        <v>9371.44</v>
      </c>
      <c r="C8" s="8" t="n">
        <f aca="false">'06 Sales and Marketing Budget'!C10+'07 Corporate Opex'!C15</f>
        <v>9372.04</v>
      </c>
      <c r="D8" s="8" t="n">
        <f aca="false">'06 Sales and Marketing Budget'!D10+'07 Corporate Opex'!D15</f>
        <v>9467.642</v>
      </c>
      <c r="E8" s="8" t="n">
        <f aca="false">'06 Sales and Marketing Budget'!E10+'07 Corporate Opex'!E15</f>
        <v>9468.24600666667</v>
      </c>
      <c r="F8" s="8" t="n">
        <f aca="false">'06 Sales and Marketing Budget'!F10+'07 Corporate Opex'!F15</f>
        <v>9563.85202668889</v>
      </c>
      <c r="G8" s="8" t="n">
        <f aca="false">'06 Sales and Marketing Budget'!G10+'07 Corporate Opex'!G15</f>
        <v>9564.46006677785</v>
      </c>
      <c r="H8" s="8" t="n">
        <f aca="false">'06 Sales and Marketing Budget'!H10+'07 Corporate Opex'!H15</f>
        <v>9660.07013366711</v>
      </c>
      <c r="I8" s="8" t="n">
        <f aca="false">'06 Sales and Marketing Budget'!I10+'07 Corporate Opex'!I15</f>
        <v>9660.68223411267</v>
      </c>
      <c r="J8" s="8" t="n">
        <f aca="false">'06 Sales and Marketing Budget'!J10+'07 Corporate Opex'!J15</f>
        <v>9566.29637489305</v>
      </c>
      <c r="K8" s="8" t="n">
        <f aca="false">'06 Sales and Marketing Budget'!K10+'07 Corporate Opex'!K15</f>
        <v>9471.91256280935</v>
      </c>
      <c r="L8" s="8" t="n">
        <f aca="false">'06 Sales and Marketing Budget'!L10+'07 Corporate Opex'!L15</f>
        <v>9472.53080468539</v>
      </c>
      <c r="M8" s="8" t="n">
        <f aca="false">'06 Sales and Marketing Budget'!M10+'07 Corporate Opex'!M15</f>
        <v>13523.4311073677</v>
      </c>
      <c r="N8" s="18" t="n">
        <f aca="false">SUM(B8:M8)</f>
        <v>118162.603317669</v>
      </c>
      <c r="O8" s="23"/>
      <c r="P8" s="13" t="n">
        <f aca="false">O8-N8</f>
        <v>-118162.603317669</v>
      </c>
    </row>
    <row r="9" customFormat="false" ht="15" hidden="false" customHeight="false" outlineLevel="0" collapsed="false">
      <c r="A9" s="0" t="s">
        <v>21</v>
      </c>
      <c r="B9" s="8" t="n">
        <f aca="false">'03 Revenue Budget'!B11-'05 Construction Cost Budget'!B49-'06 Sales and Marketing Budget'!B10-'07 Corporate Opex'!B15-'10 Financing Cost'!B64</f>
        <v>29840.4866666666</v>
      </c>
      <c r="C9" s="8" t="n">
        <f aca="false">'03 Revenue Budget'!C11-'05 Construction Cost Budget'!C49-'06 Sales and Marketing Budget'!C10-'07 Corporate Opex'!C15-'10 Financing Cost'!C64</f>
        <v>51020.4336534667</v>
      </c>
      <c r="D9" s="8" t="n">
        <f aca="false">'03 Revenue Budget'!D11-'05 Construction Cost Budget'!D49-'06 Sales and Marketing Budget'!D10-'07 Corporate Opex'!D15-'10 Financing Cost'!D64</f>
        <v>57891.9590502195</v>
      </c>
      <c r="E9" s="8" t="n">
        <f aca="false">'03 Revenue Budget'!E11-'05 Construction Cost Budget'!E49-'06 Sales and Marketing Budget'!E10-'07 Corporate Opex'!E15-'10 Financing Cost'!E64</f>
        <v>57735.9777324343</v>
      </c>
      <c r="F9" s="8" t="n">
        <f aca="false">'03 Revenue Budget'!F11-'05 Construction Cost Budget'!F49-'06 Sales and Marketing Budget'!F10-'07 Corporate Opex'!F15-'10 Financing Cost'!F64</f>
        <v>64534.2913656762</v>
      </c>
      <c r="G9" s="8" t="n">
        <f aca="false">'03 Revenue Budget'!G11-'05 Construction Cost Budget'!G49-'06 Sales and Marketing Budget'!G10-'07 Corporate Opex'!G15-'10 Financing Cost'!G64</f>
        <v>61862.3907937627</v>
      </c>
      <c r="H9" s="8" t="n">
        <f aca="false">'03 Revenue Budget'!H11-'05 Construction Cost Budget'!H49-'06 Sales and Marketing Budget'!H10-'07 Corporate Opex'!H15-'10 Financing Cost'!H64</f>
        <v>83002.4526850678</v>
      </c>
      <c r="I9" s="8" t="n">
        <f aca="false">'03 Revenue Budget'!I11-'05 Construction Cost Budget'!I49-'06 Sales and Marketing Budget'!I10-'07 Corporate Opex'!I15-'10 Financing Cost'!I64</f>
        <v>71246.4267633106</v>
      </c>
      <c r="J9" s="8" t="n">
        <f aca="false">'03 Revenue Budget'!J11-'05 Construction Cost Budget'!J49-'06 Sales and Marketing Budget'!J10-'07 Corporate Opex'!J15-'10 Financing Cost'!J64</f>
        <v>52376.0686121931</v>
      </c>
      <c r="K9" s="8" t="n">
        <f aca="false">'03 Revenue Budget'!K11-'05 Construction Cost Budget'!K49-'06 Sales and Marketing Budget'!K10-'07 Corporate Opex'!K15-'10 Financing Cost'!K64</f>
        <v>64093.9299043382</v>
      </c>
      <c r="L9" s="8" t="n">
        <f aca="false">'03 Revenue Budget'!L11-'05 Construction Cost Budget'!L49-'06 Sales and Marketing Budget'!L10-'07 Corporate Opex'!L15-'10 Financing Cost'!L64</f>
        <v>57064.3775781448</v>
      </c>
      <c r="M9" s="8" t="n">
        <f aca="false">'03 Revenue Budget'!M11-'05 Construction Cost Budget'!M49-'06 Sales and Marketing Budget'!M10-'07 Corporate Opex'!M15-'10 Financing Cost'!M64</f>
        <v>57697.0560986751</v>
      </c>
      <c r="N9" s="18" t="n">
        <f aca="false">SUM(B9:M9)</f>
        <v>708365.850903956</v>
      </c>
      <c r="O9" s="23"/>
      <c r="P9" s="13" t="n">
        <f aca="false">O9-N9</f>
        <v>-708365.850903956</v>
      </c>
    </row>
    <row r="10" customFormat="false" ht="15" hidden="false" customHeight="false" outlineLevel="0" collapsed="false">
      <c r="A10" s="0" t="s">
        <v>243</v>
      </c>
      <c r="B10" s="8" t="n">
        <f aca="false">'11 Cash Flow Budget'!B28</f>
        <v>133345.648386667</v>
      </c>
      <c r="C10" s="8" t="n">
        <f aca="false">'11 Cash Flow Budget'!C28</f>
        <v>157655.387493467</v>
      </c>
      <c r="D10" s="8" t="n">
        <f aca="false">'11 Cash Flow Budget'!D28</f>
        <v>199103.529574797</v>
      </c>
      <c r="E10" s="8" t="n">
        <f aca="false">'11 Cash Flow Budget'!E28</f>
        <v>238699.609834713</v>
      </c>
      <c r="F10" s="8" t="n">
        <f aca="false">'11 Cash Flow Budget'!F28</f>
        <v>289304.607762962</v>
      </c>
      <c r="G10" s="8" t="n">
        <f aca="false">'11 Cash Flow Budget'!G28</f>
        <v>307541.781474107</v>
      </c>
      <c r="H10" s="8" t="n">
        <f aca="false">'11 Cash Flow Budget'!H28</f>
        <v>335123.453492947</v>
      </c>
      <c r="I10" s="8" t="n">
        <f aca="false">'11 Cash Flow Budget'!I28</f>
        <v>382988.158850743</v>
      </c>
      <c r="J10" s="8" t="n">
        <f aca="false">'11 Cash Flow Budget'!J28</f>
        <v>397097.17866607</v>
      </c>
      <c r="K10" s="8" t="n">
        <f aca="false">'11 Cash Flow Budget'!K28</f>
        <v>367885.268234619</v>
      </c>
      <c r="L10" s="8" t="n">
        <f aca="false">'11 Cash Flow Budget'!L28</f>
        <v>361304.312575856</v>
      </c>
      <c r="M10" s="8" t="n">
        <f aca="false">'11 Cash Flow Budget'!M28</f>
        <v>341931.507800566</v>
      </c>
      <c r="N10" s="18" t="n">
        <f aca="false">M5</f>
        <v>147948.485192935</v>
      </c>
      <c r="O10" s="23"/>
      <c r="P10" s="13" t="n">
        <f aca="false">O10-N10</f>
        <v>-147948.485192935</v>
      </c>
    </row>
  </sheetData>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6" min="1" style="0" width="14"/>
  </cols>
  <sheetData>
    <row r="1" customFormat="false" ht="18.55" hidden="false" customHeight="false" outlineLevel="0" collapsed="false">
      <c r="A1" s="1" t="s">
        <v>306</v>
      </c>
      <c r="B1" s="1"/>
      <c r="C1" s="1"/>
      <c r="D1" s="1"/>
      <c r="E1" s="1"/>
      <c r="F1" s="1"/>
      <c r="G1" s="1"/>
      <c r="H1" s="1"/>
      <c r="I1" s="1"/>
      <c r="J1" s="1"/>
      <c r="K1" s="1"/>
      <c r="L1" s="1"/>
      <c r="M1" s="1"/>
      <c r="N1" s="1"/>
      <c r="O1" s="1"/>
    </row>
    <row r="2" customFormat="false" ht="15" hidden="false" customHeight="false" outlineLevel="0" collapsed="false">
      <c r="A2" s="2" t="s">
        <v>307</v>
      </c>
      <c r="B2" s="2"/>
      <c r="C2" s="2"/>
      <c r="D2" s="2"/>
      <c r="E2" s="2"/>
      <c r="F2" s="2"/>
      <c r="G2" s="2"/>
      <c r="H2" s="2"/>
      <c r="I2" s="2"/>
      <c r="J2" s="2"/>
      <c r="K2" s="2"/>
      <c r="L2" s="2"/>
      <c r="M2" s="2"/>
      <c r="N2" s="2"/>
      <c r="O2" s="2"/>
    </row>
    <row r="4" customFormat="false" ht="15" hidden="false" customHeight="false" outlineLevel="0" collapsed="false">
      <c r="A4" s="9" t="s">
        <v>308</v>
      </c>
      <c r="B4" s="9"/>
      <c r="C4" s="9"/>
      <c r="D4" s="9"/>
      <c r="E4" s="9"/>
      <c r="F4" s="9"/>
      <c r="G4" s="9"/>
      <c r="H4" s="9"/>
    </row>
    <row r="5" customFormat="false" ht="16.4" hidden="false" customHeight="false" outlineLevel="0" collapsed="false">
      <c r="A5" s="3"/>
      <c r="B5" s="3" t="s">
        <v>309</v>
      </c>
      <c r="C5" s="3" t="s">
        <v>310</v>
      </c>
      <c r="D5" s="3" t="s">
        <v>311</v>
      </c>
      <c r="E5" s="3" t="s">
        <v>312</v>
      </c>
      <c r="F5" s="3" t="s">
        <v>313</v>
      </c>
      <c r="G5" s="3"/>
    </row>
    <row r="6" customFormat="false" ht="15" hidden="false" customHeight="false" outlineLevel="0" collapsed="false">
      <c r="A6" s="22" t="n">
        <v>-0.1</v>
      </c>
      <c r="B6" s="13" t="n">
        <f aca="false">'11 Cash Flow Budget'!N28*0.975</f>
        <v>3424180.93304383</v>
      </c>
      <c r="C6" s="13" t="n">
        <f aca="false">'11 Cash Flow Budget'!N28*0.9275</f>
        <v>3257361.86194682</v>
      </c>
      <c r="D6" s="13" t="n">
        <f aca="false">'11 Cash Flow Budget'!N28*0.88</f>
        <v>3090542.79084981</v>
      </c>
      <c r="E6" s="13" t="n">
        <f aca="false">'11 Cash Flow Budget'!N28*0.8325</f>
        <v>2923723.71975281</v>
      </c>
      <c r="F6" s="13" t="n">
        <f aca="false">'11 Cash Flow Budget'!N28*0.785</f>
        <v>2756904.6486558</v>
      </c>
    </row>
    <row r="7" customFormat="false" ht="15" hidden="false" customHeight="false" outlineLevel="0" collapsed="false">
      <c r="A7" s="22" t="n">
        <v>-0.05</v>
      </c>
      <c r="B7" s="13" t="n">
        <f aca="false">'11 Cash Flow Budget'!N28*1.035</f>
        <v>3634899.75969268</v>
      </c>
      <c r="C7" s="13" t="n">
        <f aca="false">'11 Cash Flow Budget'!N28*0.9875</f>
        <v>3468080.68859567</v>
      </c>
      <c r="D7" s="13" t="n">
        <f aca="false">'11 Cash Flow Budget'!N28*0.94</f>
        <v>3301261.61749866</v>
      </c>
      <c r="E7" s="13" t="n">
        <f aca="false">'11 Cash Flow Budget'!N28*0.8925</f>
        <v>3134442.54640166</v>
      </c>
      <c r="F7" s="13" t="n">
        <f aca="false">'11 Cash Flow Budget'!N28*0.845</f>
        <v>2967623.47530465</v>
      </c>
    </row>
    <row r="8" customFormat="false" ht="15" hidden="false" customHeight="false" outlineLevel="0" collapsed="false">
      <c r="A8" s="22" t="n">
        <v>0</v>
      </c>
      <c r="B8" s="13" t="n">
        <f aca="false">'11 Cash Flow Budget'!N28*1.095</f>
        <v>3845618.58634153</v>
      </c>
      <c r="C8" s="13" t="n">
        <f aca="false">'11 Cash Flow Budget'!N28*1.0475</f>
        <v>3678799.51524452</v>
      </c>
      <c r="D8" s="13" t="n">
        <f aca="false">'11 Cash Flow Budget'!N28*1</f>
        <v>3511980.44414752</v>
      </c>
      <c r="E8" s="13" t="n">
        <f aca="false">'11 Cash Flow Budget'!N28*0.9525</f>
        <v>3345161.37305051</v>
      </c>
      <c r="F8" s="13" t="n">
        <f aca="false">'11 Cash Flow Budget'!N28*0.905</f>
        <v>3178342.3019535</v>
      </c>
    </row>
    <row r="9" customFormat="false" ht="15" hidden="false" customHeight="false" outlineLevel="0" collapsed="false">
      <c r="A9" s="22" t="n">
        <v>0.05</v>
      </c>
      <c r="B9" s="13" t="n">
        <f aca="false">'11 Cash Flow Budget'!N28*1.155</f>
        <v>4056337.41299038</v>
      </c>
      <c r="C9" s="13" t="n">
        <f aca="false">'11 Cash Flow Budget'!N28*1.1075</f>
        <v>3889518.34189337</v>
      </c>
      <c r="D9" s="13" t="n">
        <f aca="false">'11 Cash Flow Budget'!N28*1.06</f>
        <v>3722699.27079637</v>
      </c>
      <c r="E9" s="13" t="n">
        <f aca="false">'11 Cash Flow Budget'!N28*1.0125</f>
        <v>3555880.19969936</v>
      </c>
      <c r="F9" s="13" t="n">
        <f aca="false">'11 Cash Flow Budget'!N28*0.965</f>
        <v>3389061.12860235</v>
      </c>
    </row>
    <row r="10" customFormat="false" ht="15" hidden="false" customHeight="false" outlineLevel="0" collapsed="false">
      <c r="A10" s="22" t="n">
        <v>0.1</v>
      </c>
      <c r="B10" s="13" t="n">
        <f aca="false">'11 Cash Flow Budget'!N28*1.215</f>
        <v>4267056.23963923</v>
      </c>
      <c r="C10" s="13" t="n">
        <f aca="false">'11 Cash Flow Budget'!N28*1.1675</f>
        <v>4100237.16854222</v>
      </c>
      <c r="D10" s="13" t="n">
        <f aca="false">'11 Cash Flow Budget'!N28*1.12</f>
        <v>3933418.09744522</v>
      </c>
      <c r="E10" s="13" t="n">
        <f aca="false">'11 Cash Flow Budget'!N28*1.0725</f>
        <v>3766599.02634821</v>
      </c>
      <c r="F10" s="13" t="n">
        <f aca="false">'11 Cash Flow Budget'!N28*1.025</f>
        <v>3599779.9552512</v>
      </c>
    </row>
    <row r="12" customFormat="false" ht="15" hidden="false" customHeight="false" outlineLevel="0" collapsed="false">
      <c r="A12" s="9" t="s">
        <v>314</v>
      </c>
      <c r="B12" s="9"/>
      <c r="C12" s="9"/>
      <c r="D12" s="9"/>
      <c r="E12" s="9"/>
      <c r="F12" s="9"/>
      <c r="G12" s="9"/>
      <c r="H12" s="9"/>
    </row>
    <row r="13" customFormat="false" ht="16.4" hidden="false" customHeight="false" outlineLevel="0" collapsed="false">
      <c r="A13" s="3"/>
      <c r="B13" s="3" t="s">
        <v>315</v>
      </c>
      <c r="C13" s="3" t="s">
        <v>316</v>
      </c>
      <c r="D13" s="3" t="s">
        <v>311</v>
      </c>
      <c r="E13" s="3" t="s">
        <v>317</v>
      </c>
      <c r="F13" s="3" t="s">
        <v>318</v>
      </c>
      <c r="G13" s="3"/>
    </row>
    <row r="14" customFormat="false" ht="15" hidden="false" customHeight="false" outlineLevel="0" collapsed="false">
      <c r="A14" s="22" t="n">
        <v>-0.1</v>
      </c>
      <c r="B14" s="13" t="n">
        <f aca="false">'14 Budget vs Forecast'!N7*0.935</f>
        <v>731863.507971491</v>
      </c>
      <c r="C14" s="13" t="n">
        <f aca="false">'14 Budget vs Forecast'!N7*0.925</f>
        <v>724036.090773935</v>
      </c>
      <c r="D14" s="13" t="n">
        <f aca="false">'14 Budget vs Forecast'!N7*0.915</f>
        <v>716208.673576379</v>
      </c>
      <c r="E14" s="13" t="n">
        <f aca="false">'14 Budget vs Forecast'!N7*0.905</f>
        <v>708381.256378823</v>
      </c>
      <c r="F14" s="13" t="n">
        <f aca="false">'14 Budget vs Forecast'!N7*0.895</f>
        <v>700553.839181267</v>
      </c>
    </row>
    <row r="15" customFormat="false" ht="15" hidden="false" customHeight="false" outlineLevel="0" collapsed="false">
      <c r="A15" s="22" t="n">
        <v>-0.05</v>
      </c>
      <c r="B15" s="13" t="n">
        <f aca="false">'14 Budget vs Forecast'!N7*0.9775</f>
        <v>765130.031061104</v>
      </c>
      <c r="C15" s="13" t="n">
        <f aca="false">'14 Budget vs Forecast'!N7*0.9675</f>
        <v>757302.613863548</v>
      </c>
      <c r="D15" s="13" t="n">
        <f aca="false">'14 Budget vs Forecast'!N7*0.9575</f>
        <v>749475.196665992</v>
      </c>
      <c r="E15" s="13" t="n">
        <f aca="false">'14 Budget vs Forecast'!N7*0.9475</f>
        <v>741647.779468436</v>
      </c>
      <c r="F15" s="13" t="n">
        <f aca="false">'14 Budget vs Forecast'!N7*0.9375</f>
        <v>733820.36227088</v>
      </c>
    </row>
    <row r="16" customFormat="false" ht="15" hidden="false" customHeight="false" outlineLevel="0" collapsed="false">
      <c r="A16" s="22" t="n">
        <v>0</v>
      </c>
      <c r="B16" s="13" t="n">
        <f aca="false">'14 Budget vs Forecast'!N7*1.02</f>
        <v>798396.554150718</v>
      </c>
      <c r="C16" s="13" t="n">
        <f aca="false">'14 Budget vs Forecast'!N7*1.01</f>
        <v>790569.136953162</v>
      </c>
      <c r="D16" s="13" t="n">
        <f aca="false">'14 Budget vs Forecast'!N7*1</f>
        <v>782741.719755605</v>
      </c>
      <c r="E16" s="13" t="n">
        <f aca="false">'14 Budget vs Forecast'!N7*0.99</f>
        <v>774914.302558049</v>
      </c>
      <c r="F16" s="13" t="n">
        <f aca="false">'14 Budget vs Forecast'!N7*0.98</f>
        <v>767086.885360493</v>
      </c>
    </row>
    <row r="17" customFormat="false" ht="15" hidden="false" customHeight="false" outlineLevel="0" collapsed="false">
      <c r="A17" s="22" t="n">
        <v>0.05</v>
      </c>
      <c r="B17" s="13" t="n">
        <f aca="false">'14 Budget vs Forecast'!N7*1.0625</f>
        <v>831663.077240331</v>
      </c>
      <c r="C17" s="13" t="n">
        <f aca="false">'14 Budget vs Forecast'!N7*1.0525</f>
        <v>823835.660042775</v>
      </c>
      <c r="D17" s="13" t="n">
        <f aca="false">'14 Budget vs Forecast'!N7*1.0425</f>
        <v>816008.242845219</v>
      </c>
      <c r="E17" s="13" t="n">
        <f aca="false">'14 Budget vs Forecast'!N7*1.0325</f>
        <v>808180.825647663</v>
      </c>
      <c r="F17" s="13" t="n">
        <f aca="false">'14 Budget vs Forecast'!N7*1.0225</f>
        <v>800353.408450107</v>
      </c>
    </row>
    <row r="18" customFormat="false" ht="15" hidden="false" customHeight="false" outlineLevel="0" collapsed="false">
      <c r="A18" s="22" t="n">
        <v>0.1</v>
      </c>
      <c r="B18" s="13" t="n">
        <f aca="false">'14 Budget vs Forecast'!N7*1.105</f>
        <v>864929.600329944</v>
      </c>
      <c r="C18" s="13" t="n">
        <f aca="false">'14 Budget vs Forecast'!N7*1.095</f>
        <v>857102.183132388</v>
      </c>
      <c r="D18" s="13" t="n">
        <f aca="false">'14 Budget vs Forecast'!N7*1.085</f>
        <v>849274.765934832</v>
      </c>
      <c r="E18" s="13" t="n">
        <f aca="false">'14 Budget vs Forecast'!N7*1.075</f>
        <v>841447.348737276</v>
      </c>
      <c r="F18" s="13" t="n">
        <f aca="false">'14 Budget vs Forecast'!N7*1.065</f>
        <v>833619.93153972</v>
      </c>
    </row>
  </sheetData>
  <mergeCells count="4">
    <mergeCell ref="A1:O1"/>
    <mergeCell ref="A2:O2"/>
    <mergeCell ref="A4:H4"/>
    <mergeCell ref="A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8" min="3" style="0" width="18"/>
  </cols>
  <sheetData>
    <row r="1" customFormat="false" ht="18.55" hidden="false" customHeight="false" outlineLevel="0" collapsed="false">
      <c r="A1" s="1" t="s">
        <v>319</v>
      </c>
      <c r="B1" s="1"/>
      <c r="C1" s="1"/>
      <c r="D1" s="1"/>
      <c r="E1" s="1"/>
      <c r="F1" s="1"/>
      <c r="G1" s="1"/>
      <c r="H1" s="1"/>
    </row>
    <row r="2" customFormat="false" ht="15" hidden="false" customHeight="false" outlineLevel="0" collapsed="false">
      <c r="A2" s="2" t="s">
        <v>320</v>
      </c>
      <c r="B2" s="2"/>
      <c r="C2" s="2"/>
      <c r="D2" s="2"/>
      <c r="E2" s="2"/>
      <c r="F2" s="2"/>
      <c r="G2" s="2"/>
      <c r="H2" s="2"/>
    </row>
    <row r="4" customFormat="false" ht="15" hidden="false" customHeight="false" outlineLevel="0" collapsed="false">
      <c r="A4" s="9" t="s">
        <v>321</v>
      </c>
      <c r="B4" s="9"/>
      <c r="C4" s="9"/>
      <c r="D4" s="9"/>
      <c r="E4" s="9"/>
      <c r="F4" s="9"/>
      <c r="G4" s="9"/>
      <c r="H4" s="9"/>
    </row>
    <row r="5" customFormat="false" ht="42" hidden="false" customHeight="true" outlineLevel="0" collapsed="false">
      <c r="A5" s="24" t="s">
        <v>322</v>
      </c>
      <c r="B5" s="24"/>
      <c r="C5" s="24"/>
      <c r="D5" s="24"/>
      <c r="E5" s="24"/>
      <c r="F5" s="24"/>
      <c r="G5" s="24"/>
      <c r="H5" s="24"/>
    </row>
    <row r="6" customFormat="false" ht="15" hidden="false" customHeight="false" outlineLevel="0" collapsed="false">
      <c r="A6" s="24"/>
      <c r="B6" s="24"/>
      <c r="C6" s="24"/>
      <c r="D6" s="24"/>
      <c r="E6" s="24"/>
      <c r="F6" s="24"/>
      <c r="G6" s="24"/>
      <c r="H6" s="24"/>
    </row>
    <row r="8" customFormat="false" ht="42" hidden="false" customHeight="true" outlineLevel="0" collapsed="false">
      <c r="A8" s="24" t="s">
        <v>323</v>
      </c>
      <c r="B8" s="24"/>
      <c r="C8" s="24"/>
      <c r="D8" s="24"/>
      <c r="E8" s="24"/>
      <c r="F8" s="24"/>
      <c r="G8" s="24"/>
      <c r="H8" s="24"/>
    </row>
    <row r="9" customFormat="false" ht="15" hidden="false" customHeight="false" outlineLevel="0" collapsed="false">
      <c r="A9" s="24"/>
      <c r="B9" s="24"/>
      <c r="C9" s="24"/>
      <c r="D9" s="24"/>
      <c r="E9" s="24"/>
      <c r="F9" s="24"/>
      <c r="G9" s="24"/>
      <c r="H9" s="24"/>
    </row>
    <row r="11" customFormat="false" ht="42" hidden="false" customHeight="true" outlineLevel="0" collapsed="false">
      <c r="A11" s="24" t="s">
        <v>324</v>
      </c>
      <c r="B11" s="24"/>
      <c r="C11" s="24"/>
      <c r="D11" s="24"/>
      <c r="E11" s="24"/>
      <c r="F11" s="24"/>
      <c r="G11" s="24"/>
      <c r="H11" s="24"/>
    </row>
    <row r="12" customFormat="false" ht="15" hidden="false" customHeight="false" outlineLevel="0" collapsed="false">
      <c r="A12" s="24"/>
      <c r="B12" s="24"/>
      <c r="C12" s="24"/>
      <c r="D12" s="24"/>
      <c r="E12" s="24"/>
      <c r="F12" s="24"/>
      <c r="G12" s="24"/>
      <c r="H12" s="24"/>
    </row>
    <row r="14" customFormat="false" ht="42" hidden="false" customHeight="true" outlineLevel="0" collapsed="false">
      <c r="A14" s="24" t="s">
        <v>325</v>
      </c>
      <c r="B14" s="24"/>
      <c r="C14" s="24"/>
      <c r="D14" s="24"/>
      <c r="E14" s="24"/>
      <c r="F14" s="24"/>
      <c r="G14" s="24"/>
      <c r="H14" s="24"/>
    </row>
    <row r="15" customFormat="false" ht="15" hidden="false" customHeight="false" outlineLevel="0" collapsed="false">
      <c r="A15" s="24"/>
      <c r="B15" s="24"/>
      <c r="C15" s="24"/>
      <c r="D15" s="24"/>
      <c r="E15" s="24"/>
      <c r="F15" s="24"/>
      <c r="G15" s="24"/>
      <c r="H15" s="24"/>
    </row>
    <row r="17" customFormat="false" ht="15" hidden="false" customHeight="false" outlineLevel="0" collapsed="false">
      <c r="A17" s="9" t="s">
        <v>326</v>
      </c>
      <c r="B17" s="9"/>
      <c r="C17" s="9"/>
      <c r="D17" s="9"/>
      <c r="E17" s="9"/>
      <c r="F17" s="9"/>
      <c r="G17" s="9"/>
      <c r="H17" s="9"/>
    </row>
    <row r="18" customFormat="false" ht="15" hidden="false" customHeight="false" outlineLevel="0" collapsed="false">
      <c r="A18" s="0" t="s">
        <v>327</v>
      </c>
      <c r="B18" s="25" t="s">
        <v>328</v>
      </c>
      <c r="C18" s="25"/>
      <c r="D18" s="25"/>
      <c r="E18" s="25"/>
      <c r="F18" s="25"/>
      <c r="G18" s="25"/>
      <c r="H18" s="25"/>
    </row>
    <row r="19" customFormat="false" ht="15" hidden="false" customHeight="false" outlineLevel="0" collapsed="false">
      <c r="A19" s="0" t="s">
        <v>327</v>
      </c>
      <c r="B19" s="25" t="s">
        <v>329</v>
      </c>
      <c r="C19" s="25"/>
      <c r="D19" s="25"/>
      <c r="E19" s="25"/>
      <c r="F19" s="25"/>
      <c r="G19" s="25"/>
      <c r="H19" s="25"/>
    </row>
    <row r="20" customFormat="false" ht="15" hidden="false" customHeight="false" outlineLevel="0" collapsed="false">
      <c r="A20" s="0" t="s">
        <v>327</v>
      </c>
      <c r="B20" s="25" t="s">
        <v>330</v>
      </c>
      <c r="C20" s="25"/>
      <c r="D20" s="25"/>
      <c r="E20" s="25"/>
      <c r="F20" s="25"/>
      <c r="G20" s="25"/>
      <c r="H20" s="25"/>
    </row>
    <row r="21" customFormat="false" ht="15" hidden="false" customHeight="false" outlineLevel="0" collapsed="false">
      <c r="A21" s="0" t="s">
        <v>327</v>
      </c>
      <c r="B21" s="25" t="s">
        <v>331</v>
      </c>
      <c r="C21" s="25"/>
      <c r="D21" s="25"/>
      <c r="E21" s="25"/>
      <c r="F21" s="25"/>
      <c r="G21" s="25"/>
      <c r="H21" s="25"/>
    </row>
    <row r="23" customFormat="false" ht="15" hidden="false" customHeight="false" outlineLevel="0" collapsed="false">
      <c r="A23" s="9" t="s">
        <v>332</v>
      </c>
      <c r="B23" s="9"/>
      <c r="C23" s="9"/>
      <c r="D23" s="9"/>
      <c r="E23" s="9"/>
      <c r="F23" s="9"/>
      <c r="G23" s="9"/>
      <c r="H23" s="9"/>
    </row>
    <row r="24" customFormat="false" ht="15" hidden="false" customHeight="false" outlineLevel="0" collapsed="false">
      <c r="A24" s="0" t="s">
        <v>327</v>
      </c>
      <c r="B24" s="25" t="s">
        <v>333</v>
      </c>
      <c r="C24" s="25"/>
      <c r="D24" s="25"/>
      <c r="E24" s="25"/>
      <c r="F24" s="25"/>
      <c r="G24" s="25"/>
      <c r="H24" s="25"/>
    </row>
    <row r="25" customFormat="false" ht="15" hidden="false" customHeight="false" outlineLevel="0" collapsed="false">
      <c r="A25" s="0" t="s">
        <v>327</v>
      </c>
      <c r="B25" s="25" t="s">
        <v>334</v>
      </c>
      <c r="C25" s="25"/>
      <c r="D25" s="25"/>
      <c r="E25" s="25"/>
      <c r="F25" s="25"/>
      <c r="G25" s="25"/>
      <c r="H25" s="25"/>
    </row>
    <row r="26" customFormat="false" ht="15" hidden="false" customHeight="false" outlineLevel="0" collapsed="false">
      <c r="A26" s="0" t="s">
        <v>327</v>
      </c>
      <c r="B26" s="25" t="s">
        <v>335</v>
      </c>
      <c r="C26" s="25"/>
      <c r="D26" s="25"/>
      <c r="E26" s="25"/>
      <c r="F26" s="25"/>
      <c r="G26" s="25"/>
      <c r="H26" s="25"/>
    </row>
    <row r="27" customFormat="false" ht="15" hidden="false" customHeight="false" outlineLevel="0" collapsed="false">
      <c r="A27" s="0" t="s">
        <v>327</v>
      </c>
      <c r="B27" s="25" t="s">
        <v>336</v>
      </c>
      <c r="C27" s="25"/>
      <c r="D27" s="25"/>
      <c r="E27" s="25"/>
      <c r="F27" s="25"/>
      <c r="G27" s="25"/>
      <c r="H27" s="25"/>
    </row>
  </sheetData>
  <mergeCells count="17">
    <mergeCell ref="A1:H1"/>
    <mergeCell ref="A2:H2"/>
    <mergeCell ref="A4:H4"/>
    <mergeCell ref="A5:H6"/>
    <mergeCell ref="A8:H9"/>
    <mergeCell ref="A11:H12"/>
    <mergeCell ref="A14:H15"/>
    <mergeCell ref="A17:H17"/>
    <mergeCell ref="B18:H18"/>
    <mergeCell ref="B19:H19"/>
    <mergeCell ref="B20:H20"/>
    <mergeCell ref="B21:H21"/>
    <mergeCell ref="A23:H23"/>
    <mergeCell ref="B24:H24"/>
    <mergeCell ref="B25:H25"/>
    <mergeCell ref="B26:H26"/>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sheetData>
    <row r="1" customFormat="false" ht="18.55" hidden="false" customHeight="false" outlineLevel="0" collapsed="false">
      <c r="A1" s="1" t="s">
        <v>337</v>
      </c>
      <c r="B1" s="1"/>
      <c r="C1" s="1"/>
      <c r="D1" s="1"/>
      <c r="E1" s="1"/>
      <c r="F1" s="1"/>
      <c r="G1" s="1"/>
      <c r="H1" s="1"/>
      <c r="I1" s="1"/>
      <c r="J1" s="1"/>
      <c r="K1" s="1"/>
      <c r="L1" s="1"/>
      <c r="M1" s="1"/>
      <c r="N1" s="1"/>
      <c r="O1" s="1"/>
      <c r="P1" s="1"/>
    </row>
    <row r="3" customFormat="false" ht="16.4" hidden="false" customHeight="false" outlineLevel="0" collapsed="false">
      <c r="A3" s="3" t="s">
        <v>2</v>
      </c>
      <c r="B3" s="3" t="s">
        <v>78</v>
      </c>
      <c r="C3" s="3" t="s">
        <v>79</v>
      </c>
      <c r="D3" s="3" t="s">
        <v>80</v>
      </c>
      <c r="E3" s="3" t="s">
        <v>81</v>
      </c>
      <c r="F3" s="3" t="s">
        <v>82</v>
      </c>
      <c r="G3" s="3" t="s">
        <v>83</v>
      </c>
      <c r="H3" s="3" t="s">
        <v>84</v>
      </c>
      <c r="I3" s="3" t="s">
        <v>85</v>
      </c>
      <c r="J3" s="3" t="s">
        <v>86</v>
      </c>
      <c r="K3" s="3" t="s">
        <v>87</v>
      </c>
      <c r="L3" s="3" t="s">
        <v>88</v>
      </c>
      <c r="M3" s="3" t="s">
        <v>89</v>
      </c>
    </row>
    <row r="4" customFormat="false" ht="15" hidden="false" customHeight="false" outlineLevel="0" collapsed="false">
      <c r="A4" s="9" t="s">
        <v>103</v>
      </c>
      <c r="B4" s="9"/>
      <c r="C4" s="9"/>
      <c r="D4" s="9"/>
      <c r="E4" s="9"/>
      <c r="F4" s="9"/>
      <c r="G4" s="9"/>
      <c r="H4" s="9"/>
      <c r="I4" s="9"/>
      <c r="J4" s="9"/>
      <c r="K4" s="9"/>
      <c r="L4" s="9"/>
      <c r="M4" s="9"/>
      <c r="N4" s="9"/>
    </row>
    <row r="5" customFormat="false" ht="15" hidden="false" customHeight="false" outlineLevel="0" collapsed="false">
      <c r="A5" s="0" t="s">
        <v>338</v>
      </c>
      <c r="B5" s="8" t="n">
        <f aca="false">'02 Budget Assumptions'!$C$35*'02 Budget Assumptions'!B$28</f>
        <v>5.7</v>
      </c>
      <c r="C5" s="8" t="n">
        <f aca="false">'02 Budget Assumptions'!$C$35*'02 Budget Assumptions'!C$28</f>
        <v>6.65</v>
      </c>
      <c r="D5" s="8" t="n">
        <f aca="false">'02 Budget Assumptions'!$C$35*'02 Budget Assumptions'!D$28</f>
        <v>7.6</v>
      </c>
      <c r="E5" s="8" t="n">
        <f aca="false">'02 Budget Assumptions'!$C$35*'02 Budget Assumptions'!E$28</f>
        <v>7.6</v>
      </c>
      <c r="F5" s="8" t="n">
        <f aca="false">'02 Budget Assumptions'!$C$35*'02 Budget Assumptions'!F$28</f>
        <v>8.55</v>
      </c>
      <c r="G5" s="8" t="n">
        <f aca="false">'02 Budget Assumptions'!$C$35*'02 Budget Assumptions'!G$28</f>
        <v>8.55</v>
      </c>
      <c r="H5" s="8" t="n">
        <f aca="false">'02 Budget Assumptions'!$C$35*'02 Budget Assumptions'!H$28</f>
        <v>9.5</v>
      </c>
      <c r="I5" s="8" t="n">
        <f aca="false">'02 Budget Assumptions'!$C$35*'02 Budget Assumptions'!I$28</f>
        <v>9.5</v>
      </c>
      <c r="J5" s="8" t="n">
        <f aca="false">'02 Budget Assumptions'!$C$35*'02 Budget Assumptions'!J$28</f>
        <v>8.55</v>
      </c>
      <c r="K5" s="8" t="n">
        <f aca="false">'02 Budget Assumptions'!$C$35*'02 Budget Assumptions'!K$28</f>
        <v>8.55</v>
      </c>
      <c r="L5" s="8" t="n">
        <f aca="false">'02 Budget Assumptions'!$C$35*'02 Budget Assumptions'!L$28</f>
        <v>7.6</v>
      </c>
      <c r="M5" s="8" t="n">
        <f aca="false">'02 Budget Assumptions'!$C$35*'02 Budget Assumptions'!M$28</f>
        <v>6.65</v>
      </c>
    </row>
    <row r="6" customFormat="false" ht="15" hidden="false" customHeight="false" outlineLevel="0" collapsed="false">
      <c r="A6" s="0" t="s">
        <v>339</v>
      </c>
      <c r="B6" s="13" t="n">
        <f aca="false">B5*'02 Budget Assumptions'!$D$35*(1+'02 Budget Assumptions'!$C$7)</f>
        <v>36753.6</v>
      </c>
      <c r="C6" s="13" t="n">
        <f aca="false">C5*'02 Budget Assumptions'!$D$35*(1+'02 Budget Assumptions'!$C$7)</f>
        <v>42879.2</v>
      </c>
      <c r="D6" s="13" t="n">
        <f aca="false">D5*'02 Budget Assumptions'!$D$35*(1+'02 Budget Assumptions'!$C$7)</f>
        <v>49004.8</v>
      </c>
      <c r="E6" s="13" t="n">
        <f aca="false">E5*'02 Budget Assumptions'!$D$35*(1+'02 Budget Assumptions'!$C$7)</f>
        <v>49004.8</v>
      </c>
      <c r="F6" s="13" t="n">
        <f aca="false">F5*'02 Budget Assumptions'!$D$35*(1+'02 Budget Assumptions'!$C$7)</f>
        <v>55130.4</v>
      </c>
      <c r="G6" s="13" t="n">
        <f aca="false">G5*'02 Budget Assumptions'!$D$35*(1+'02 Budget Assumptions'!$C$7)</f>
        <v>55130.4</v>
      </c>
      <c r="H6" s="13" t="n">
        <f aca="false">H5*'02 Budget Assumptions'!$D$35*(1+'02 Budget Assumptions'!$C$7)</f>
        <v>61256</v>
      </c>
      <c r="I6" s="13" t="n">
        <f aca="false">I5*'02 Budget Assumptions'!$D$35*(1+'02 Budget Assumptions'!$C$7)</f>
        <v>61256</v>
      </c>
      <c r="J6" s="13" t="n">
        <f aca="false">J5*'02 Budget Assumptions'!$D$35*(1+'02 Budget Assumptions'!$C$7)</f>
        <v>55130.4</v>
      </c>
      <c r="K6" s="13" t="n">
        <f aca="false">K5*'02 Budget Assumptions'!$D$35*(1+'02 Budget Assumptions'!$C$7)</f>
        <v>55130.4</v>
      </c>
      <c r="L6" s="13" t="n">
        <f aca="false">L5*'02 Budget Assumptions'!$D$35*(1+'02 Budget Assumptions'!$C$7)</f>
        <v>49004.8</v>
      </c>
      <c r="M6" s="13" t="n">
        <f aca="false">M5*'02 Budget Assumptions'!$D$35*(1+'02 Budget Assumptions'!$C$7)</f>
        <v>42879.2</v>
      </c>
    </row>
    <row r="7" customFormat="false" ht="15" hidden="false" customHeight="false" outlineLevel="0" collapsed="false">
      <c r="A7" s="0" t="s">
        <v>340</v>
      </c>
      <c r="B7" s="13" t="n">
        <f aca="false">B6*'02 Budget Assumptions'!$E$35</f>
        <v>25727.52</v>
      </c>
      <c r="C7" s="13" t="n">
        <f aca="false">C6*'02 Budget Assumptions'!$E$35</f>
        <v>30015.44</v>
      </c>
      <c r="D7" s="13" t="n">
        <f aca="false">D6*'02 Budget Assumptions'!$E$35</f>
        <v>34303.36</v>
      </c>
      <c r="E7" s="13" t="n">
        <f aca="false">E6*'02 Budget Assumptions'!$E$35</f>
        <v>34303.36</v>
      </c>
      <c r="F7" s="13" t="n">
        <f aca="false">F6*'02 Budget Assumptions'!$E$35</f>
        <v>38591.28</v>
      </c>
      <c r="G7" s="13" t="n">
        <f aca="false">G6*'02 Budget Assumptions'!$E$35</f>
        <v>38591.28</v>
      </c>
      <c r="H7" s="13" t="n">
        <f aca="false">H6*'02 Budget Assumptions'!$E$35</f>
        <v>42879.2</v>
      </c>
      <c r="I7" s="13" t="n">
        <f aca="false">I6*'02 Budget Assumptions'!$E$35</f>
        <v>42879.2</v>
      </c>
      <c r="J7" s="13" t="n">
        <f aca="false">J6*'02 Budget Assumptions'!$E$35</f>
        <v>38591.28</v>
      </c>
      <c r="K7" s="13" t="n">
        <f aca="false">K6*'02 Budget Assumptions'!$E$35</f>
        <v>38591.28</v>
      </c>
      <c r="L7" s="13" t="n">
        <f aca="false">L6*'02 Budget Assumptions'!$E$35</f>
        <v>34303.36</v>
      </c>
      <c r="M7" s="13" t="n">
        <f aca="false">M6*'02 Budget Assumptions'!$E$35</f>
        <v>30015.44</v>
      </c>
    </row>
    <row r="8" customFormat="false" ht="15" hidden="false" customHeight="false" outlineLevel="0" collapsed="false">
      <c r="A8" s="0" t="s">
        <v>341</v>
      </c>
      <c r="B8" s="13" t="n">
        <f aca="false">B6*(1-'02 Budget Assumptions'!$E$35)</f>
        <v>11026.08</v>
      </c>
      <c r="C8" s="13" t="n">
        <f aca="false">C6*(1-'02 Budget Assumptions'!$E$35)</f>
        <v>12863.76</v>
      </c>
      <c r="D8" s="13" t="n">
        <f aca="false">D6*(1-'02 Budget Assumptions'!$E$35)</f>
        <v>14701.44</v>
      </c>
      <c r="E8" s="13" t="n">
        <f aca="false">E6*(1-'02 Budget Assumptions'!$E$35)</f>
        <v>14701.44</v>
      </c>
      <c r="F8" s="13" t="n">
        <f aca="false">F6*(1-'02 Budget Assumptions'!$E$35)</f>
        <v>16539.12</v>
      </c>
      <c r="G8" s="13" t="n">
        <f aca="false">G6*(1-'02 Budget Assumptions'!$E$35)</f>
        <v>16539.12</v>
      </c>
      <c r="H8" s="13" t="n">
        <f aca="false">H6*(1-'02 Budget Assumptions'!$E$35)</f>
        <v>18376.8</v>
      </c>
      <c r="I8" s="13" t="n">
        <f aca="false">I6*(1-'02 Budget Assumptions'!$E$35)</f>
        <v>18376.8</v>
      </c>
      <c r="J8" s="13" t="n">
        <f aca="false">J6*(1-'02 Budget Assumptions'!$E$35)</f>
        <v>16539.12</v>
      </c>
      <c r="K8" s="13" t="n">
        <f aca="false">K6*(1-'02 Budget Assumptions'!$E$35)</f>
        <v>16539.12</v>
      </c>
      <c r="L8" s="13" t="n">
        <f aca="false">L6*(1-'02 Budget Assumptions'!$E$35)</f>
        <v>14701.44</v>
      </c>
      <c r="M8" s="13" t="n">
        <f aca="false">M6*(1-'02 Budget Assumptions'!$E$35)</f>
        <v>12863.76</v>
      </c>
    </row>
    <row r="9" customFormat="false" ht="15" hidden="false" customHeight="false" outlineLevel="0" collapsed="false">
      <c r="A9" s="0" t="s">
        <v>342</v>
      </c>
      <c r="B9" s="13" t="n">
        <f aca="false">B6*'02 Budget Assumptions'!$C$9</f>
        <v>11026.08</v>
      </c>
      <c r="C9" s="13" t="n">
        <f aca="false">C6*'02 Budget Assumptions'!$C$9</f>
        <v>12863.76</v>
      </c>
      <c r="D9" s="13" t="n">
        <f aca="false">D6*'02 Budget Assumptions'!$C$9</f>
        <v>14701.44</v>
      </c>
      <c r="E9" s="13" t="n">
        <f aca="false">E6*'02 Budget Assumptions'!$C$9</f>
        <v>14701.44</v>
      </c>
      <c r="F9" s="13" t="n">
        <f aca="false">F6*'02 Budget Assumptions'!$C$9</f>
        <v>16539.12</v>
      </c>
      <c r="G9" s="13" t="n">
        <f aca="false">G6*'02 Budget Assumptions'!$C$9</f>
        <v>16539.12</v>
      </c>
      <c r="H9" s="13" t="n">
        <f aca="false">H6*'02 Budget Assumptions'!$C$9</f>
        <v>18376.8</v>
      </c>
      <c r="I9" s="13" t="n">
        <f aca="false">I6*'02 Budget Assumptions'!$C$9</f>
        <v>18376.8</v>
      </c>
      <c r="J9" s="13" t="n">
        <f aca="false">J6*'02 Budget Assumptions'!$C$9</f>
        <v>16539.12</v>
      </c>
      <c r="K9" s="13" t="n">
        <f aca="false">K6*'02 Budget Assumptions'!$C$9</f>
        <v>16539.12</v>
      </c>
      <c r="L9" s="13" t="n">
        <f aca="false">L6*'02 Budget Assumptions'!$C$9</f>
        <v>14701.44</v>
      </c>
      <c r="M9" s="13" t="n">
        <f aca="false">M6*'02 Budget Assumptions'!$C$9</f>
        <v>12863.76</v>
      </c>
    </row>
    <row r="10" customFormat="false" ht="15" hidden="false" customHeight="false" outlineLevel="0" collapsed="false">
      <c r="A10" s="0" t="s">
        <v>343</v>
      </c>
      <c r="B10" s="13" t="n">
        <f aca="false">MIN(B9,B11*'02 Budget Assumptions'!$C$10)</f>
        <v>11026.08</v>
      </c>
      <c r="C10" s="13" t="n">
        <f aca="false">MIN(C9,C11*'02 Budget Assumptions'!$C$10)</f>
        <v>12863.76</v>
      </c>
      <c r="D10" s="13" t="n">
        <f aca="false">MIN(D9,D11*'02 Budget Assumptions'!$C$10)</f>
        <v>14701.44</v>
      </c>
      <c r="E10" s="13" t="n">
        <f aca="false">MIN(E9,E11*'02 Budget Assumptions'!$C$10)</f>
        <v>14701.44</v>
      </c>
      <c r="F10" s="13" t="n">
        <f aca="false">MIN(F9,F11*'02 Budget Assumptions'!$C$10)</f>
        <v>16539.12</v>
      </c>
      <c r="G10" s="13" t="n">
        <f aca="false">MIN(G9,G11*'02 Budget Assumptions'!$C$10)</f>
        <v>16539.12</v>
      </c>
      <c r="H10" s="13" t="n">
        <f aca="false">MIN(H9,H11*'02 Budget Assumptions'!$C$10)</f>
        <v>18376.8</v>
      </c>
      <c r="I10" s="13" t="n">
        <f aca="false">MIN(I9,I11*'02 Budget Assumptions'!$C$10)</f>
        <v>18376.8</v>
      </c>
      <c r="J10" s="13" t="n">
        <f aca="false">MIN(J9,J11*'02 Budget Assumptions'!$C$10)</f>
        <v>16539.12</v>
      </c>
      <c r="K10" s="13" t="n">
        <f aca="false">MIN(K9,K11*'02 Budget Assumptions'!$C$10)</f>
        <v>16539.12</v>
      </c>
      <c r="L10" s="13" t="n">
        <f aca="false">MIN(L9,L11*'02 Budget Assumptions'!$C$10)</f>
        <v>14701.44</v>
      </c>
      <c r="M10" s="13" t="n">
        <f aca="false">MIN(M9,M11*'02 Budget Assumptions'!$C$10)</f>
        <v>12863.76</v>
      </c>
    </row>
    <row r="11" customFormat="false" ht="15" hidden="false" customHeight="false" outlineLevel="0" collapsed="false">
      <c r="A11" s="0" t="s">
        <v>7</v>
      </c>
      <c r="B11" s="13" t="n">
        <f aca="false">'02 Budget Assumptions'!$F$35*'02 Budget Assumptions'!B$29*(1+'02 Budget Assumptions'!$C$6)</f>
        <v>23887.5</v>
      </c>
      <c r="C11" s="13" t="n">
        <f aca="false">'02 Budget Assumptions'!$F$35*'02 Budget Assumptions'!C$29*(1+'02 Budget Assumptions'!$C$6)</f>
        <v>23887.5</v>
      </c>
      <c r="D11" s="13" t="n">
        <f aca="false">'02 Budget Assumptions'!$F$35*'02 Budget Assumptions'!D$29*(1+'02 Budget Assumptions'!$C$6)</f>
        <v>27300</v>
      </c>
      <c r="E11" s="13" t="n">
        <f aca="false">'02 Budget Assumptions'!$F$35*'02 Budget Assumptions'!E$29*(1+'02 Budget Assumptions'!$C$6)</f>
        <v>27300</v>
      </c>
      <c r="F11" s="13" t="n">
        <f aca="false">'02 Budget Assumptions'!$F$35*'02 Budget Assumptions'!F$29*(1+'02 Budget Assumptions'!$C$6)</f>
        <v>30712.5</v>
      </c>
      <c r="G11" s="13" t="n">
        <f aca="false">'02 Budget Assumptions'!$F$35*'02 Budget Assumptions'!G$29*(1+'02 Budget Assumptions'!$C$6)</f>
        <v>30712.5</v>
      </c>
      <c r="H11" s="13" t="n">
        <f aca="false">'02 Budget Assumptions'!$F$35*'02 Budget Assumptions'!H$29*(1+'02 Budget Assumptions'!$C$6)</f>
        <v>30712.5</v>
      </c>
      <c r="I11" s="13" t="n">
        <f aca="false">'02 Budget Assumptions'!$F$35*'02 Budget Assumptions'!I$29*(1+'02 Budget Assumptions'!$C$6)</f>
        <v>34125</v>
      </c>
      <c r="J11" s="13" t="n">
        <f aca="false">'02 Budget Assumptions'!$F$35*'02 Budget Assumptions'!J$29*(1+'02 Budget Assumptions'!$C$6)</f>
        <v>34125</v>
      </c>
      <c r="K11" s="13" t="n">
        <f aca="false">'02 Budget Assumptions'!$F$35*'02 Budget Assumptions'!K$29*(1+'02 Budget Assumptions'!$C$6)</f>
        <v>30712.5</v>
      </c>
      <c r="L11" s="13" t="n">
        <f aca="false">'02 Budget Assumptions'!$F$35*'02 Budget Assumptions'!L$29*(1+'02 Budget Assumptions'!$C$6)</f>
        <v>27300</v>
      </c>
      <c r="M11" s="13" t="n">
        <f aca="false">'02 Budget Assumptions'!$F$35*'02 Budget Assumptions'!M$29*(1+'02 Budget Assumptions'!$C$6)</f>
        <v>20475</v>
      </c>
    </row>
    <row r="13" customFormat="false" ht="15" hidden="false" customHeight="false" outlineLevel="0" collapsed="false">
      <c r="A13" s="9" t="s">
        <v>105</v>
      </c>
      <c r="B13" s="9"/>
      <c r="C13" s="9"/>
      <c r="D13" s="9"/>
      <c r="E13" s="9"/>
      <c r="F13" s="9"/>
      <c r="G13" s="9"/>
      <c r="H13" s="9"/>
      <c r="I13" s="9"/>
      <c r="J13" s="9"/>
      <c r="K13" s="9"/>
      <c r="L13" s="9"/>
      <c r="M13" s="9"/>
      <c r="N13" s="9"/>
    </row>
    <row r="14" customFormat="false" ht="15" hidden="false" customHeight="false" outlineLevel="0" collapsed="false">
      <c r="A14" s="0" t="s">
        <v>338</v>
      </c>
      <c r="B14" s="8" t="n">
        <f aca="false">'02 Budget Assumptions'!$C$36*'02 Budget Assumptions'!B$28</f>
        <v>1.08</v>
      </c>
      <c r="C14" s="8" t="n">
        <f aca="false">'02 Budget Assumptions'!$C$36*'02 Budget Assumptions'!C$28</f>
        <v>1.26</v>
      </c>
      <c r="D14" s="8" t="n">
        <f aca="false">'02 Budget Assumptions'!$C$36*'02 Budget Assumptions'!D$28</f>
        <v>1.44</v>
      </c>
      <c r="E14" s="8" t="n">
        <f aca="false">'02 Budget Assumptions'!$C$36*'02 Budget Assumptions'!E$28</f>
        <v>1.44</v>
      </c>
      <c r="F14" s="8" t="n">
        <f aca="false">'02 Budget Assumptions'!$C$36*'02 Budget Assumptions'!F$28</f>
        <v>1.62</v>
      </c>
      <c r="G14" s="8" t="n">
        <f aca="false">'02 Budget Assumptions'!$C$36*'02 Budget Assumptions'!G$28</f>
        <v>1.62</v>
      </c>
      <c r="H14" s="8" t="n">
        <f aca="false">'02 Budget Assumptions'!$C$36*'02 Budget Assumptions'!H$28</f>
        <v>1.8</v>
      </c>
      <c r="I14" s="8" t="n">
        <f aca="false">'02 Budget Assumptions'!$C$36*'02 Budget Assumptions'!I$28</f>
        <v>1.8</v>
      </c>
      <c r="J14" s="8" t="n">
        <f aca="false">'02 Budget Assumptions'!$C$36*'02 Budget Assumptions'!J$28</f>
        <v>1.62</v>
      </c>
      <c r="K14" s="8" t="n">
        <f aca="false">'02 Budget Assumptions'!$C$36*'02 Budget Assumptions'!K$28</f>
        <v>1.62</v>
      </c>
      <c r="L14" s="8" t="n">
        <f aca="false">'02 Budget Assumptions'!$C$36*'02 Budget Assumptions'!L$28</f>
        <v>1.44</v>
      </c>
      <c r="M14" s="8" t="n">
        <f aca="false">'02 Budget Assumptions'!$C$36*'02 Budget Assumptions'!M$28</f>
        <v>1.26</v>
      </c>
    </row>
    <row r="15" customFormat="false" ht="15" hidden="false" customHeight="false" outlineLevel="0" collapsed="false">
      <c r="A15" s="0" t="s">
        <v>339</v>
      </c>
      <c r="B15" s="13" t="n">
        <f aca="false">B14*'02 Budget Assumptions'!$D$36*(1+'02 Budget Assumptions'!$C$7)</f>
        <v>24710.4</v>
      </c>
      <c r="C15" s="13" t="n">
        <f aca="false">C14*'02 Budget Assumptions'!$D$36*(1+'02 Budget Assumptions'!$C$7)</f>
        <v>28828.8</v>
      </c>
      <c r="D15" s="13" t="n">
        <f aca="false">D14*'02 Budget Assumptions'!$D$36*(1+'02 Budget Assumptions'!$C$7)</f>
        <v>32947.2</v>
      </c>
      <c r="E15" s="13" t="n">
        <f aca="false">E14*'02 Budget Assumptions'!$D$36*(1+'02 Budget Assumptions'!$C$7)</f>
        <v>32947.2</v>
      </c>
      <c r="F15" s="13" t="n">
        <f aca="false">F14*'02 Budget Assumptions'!$D$36*(1+'02 Budget Assumptions'!$C$7)</f>
        <v>37065.6</v>
      </c>
      <c r="G15" s="13" t="n">
        <f aca="false">G14*'02 Budget Assumptions'!$D$36*(1+'02 Budget Assumptions'!$C$7)</f>
        <v>37065.6</v>
      </c>
      <c r="H15" s="13" t="n">
        <f aca="false">H14*'02 Budget Assumptions'!$D$36*(1+'02 Budget Assumptions'!$C$7)</f>
        <v>41184</v>
      </c>
      <c r="I15" s="13" t="n">
        <f aca="false">I14*'02 Budget Assumptions'!$D$36*(1+'02 Budget Assumptions'!$C$7)</f>
        <v>41184</v>
      </c>
      <c r="J15" s="13" t="n">
        <f aca="false">J14*'02 Budget Assumptions'!$D$36*(1+'02 Budget Assumptions'!$C$7)</f>
        <v>37065.6</v>
      </c>
      <c r="K15" s="13" t="n">
        <f aca="false">K14*'02 Budget Assumptions'!$D$36*(1+'02 Budget Assumptions'!$C$7)</f>
        <v>37065.6</v>
      </c>
      <c r="L15" s="13" t="n">
        <f aca="false">L14*'02 Budget Assumptions'!$D$36*(1+'02 Budget Assumptions'!$C$7)</f>
        <v>32947.2</v>
      </c>
      <c r="M15" s="13" t="n">
        <f aca="false">M14*'02 Budget Assumptions'!$D$36*(1+'02 Budget Assumptions'!$C$7)</f>
        <v>28828.8</v>
      </c>
    </row>
    <row r="16" customFormat="false" ht="15" hidden="false" customHeight="false" outlineLevel="0" collapsed="false">
      <c r="A16" s="0" t="s">
        <v>340</v>
      </c>
      <c r="B16" s="13" t="n">
        <f aca="false">B15*'02 Budget Assumptions'!$E$36</f>
        <v>12355.2</v>
      </c>
      <c r="C16" s="13" t="n">
        <f aca="false">C15*'02 Budget Assumptions'!$E$36</f>
        <v>14414.4</v>
      </c>
      <c r="D16" s="13" t="n">
        <f aca="false">D15*'02 Budget Assumptions'!$E$36</f>
        <v>16473.6</v>
      </c>
      <c r="E16" s="13" t="n">
        <f aca="false">E15*'02 Budget Assumptions'!$E$36</f>
        <v>16473.6</v>
      </c>
      <c r="F16" s="13" t="n">
        <f aca="false">F15*'02 Budget Assumptions'!$E$36</f>
        <v>18532.8</v>
      </c>
      <c r="G16" s="13" t="n">
        <f aca="false">G15*'02 Budget Assumptions'!$E$36</f>
        <v>18532.8</v>
      </c>
      <c r="H16" s="13" t="n">
        <f aca="false">H15*'02 Budget Assumptions'!$E$36</f>
        <v>20592</v>
      </c>
      <c r="I16" s="13" t="n">
        <f aca="false">I15*'02 Budget Assumptions'!$E$36</f>
        <v>20592</v>
      </c>
      <c r="J16" s="13" t="n">
        <f aca="false">J15*'02 Budget Assumptions'!$E$36</f>
        <v>18532.8</v>
      </c>
      <c r="K16" s="13" t="n">
        <f aca="false">K15*'02 Budget Assumptions'!$E$36</f>
        <v>18532.8</v>
      </c>
      <c r="L16" s="13" t="n">
        <f aca="false">L15*'02 Budget Assumptions'!$E$36</f>
        <v>16473.6</v>
      </c>
      <c r="M16" s="13" t="n">
        <f aca="false">M15*'02 Budget Assumptions'!$E$36</f>
        <v>14414.4</v>
      </c>
    </row>
    <row r="17" customFormat="false" ht="15" hidden="false" customHeight="false" outlineLevel="0" collapsed="false">
      <c r="A17" s="0" t="s">
        <v>341</v>
      </c>
      <c r="B17" s="13" t="n">
        <f aca="false">B15*(1-'02 Budget Assumptions'!$E$36)</f>
        <v>12355.2</v>
      </c>
      <c r="C17" s="13" t="n">
        <f aca="false">C15*(1-'02 Budget Assumptions'!$E$36)</f>
        <v>14414.4</v>
      </c>
      <c r="D17" s="13" t="n">
        <f aca="false">D15*(1-'02 Budget Assumptions'!$E$36)</f>
        <v>16473.6</v>
      </c>
      <c r="E17" s="13" t="n">
        <f aca="false">E15*(1-'02 Budget Assumptions'!$E$36)</f>
        <v>16473.6</v>
      </c>
      <c r="F17" s="13" t="n">
        <f aca="false">F15*(1-'02 Budget Assumptions'!$E$36)</f>
        <v>18532.8</v>
      </c>
      <c r="G17" s="13" t="n">
        <f aca="false">G15*(1-'02 Budget Assumptions'!$E$36)</f>
        <v>18532.8</v>
      </c>
      <c r="H17" s="13" t="n">
        <f aca="false">H15*(1-'02 Budget Assumptions'!$E$36)</f>
        <v>20592</v>
      </c>
      <c r="I17" s="13" t="n">
        <f aca="false">I15*(1-'02 Budget Assumptions'!$E$36)</f>
        <v>20592</v>
      </c>
      <c r="J17" s="13" t="n">
        <f aca="false">J15*(1-'02 Budget Assumptions'!$E$36)</f>
        <v>18532.8</v>
      </c>
      <c r="K17" s="13" t="n">
        <f aca="false">K15*(1-'02 Budget Assumptions'!$E$36)</f>
        <v>18532.8</v>
      </c>
      <c r="L17" s="13" t="n">
        <f aca="false">L15*(1-'02 Budget Assumptions'!$E$36)</f>
        <v>16473.6</v>
      </c>
      <c r="M17" s="13" t="n">
        <f aca="false">M15*(1-'02 Budget Assumptions'!$E$36)</f>
        <v>14414.4</v>
      </c>
    </row>
    <row r="18" customFormat="false" ht="15" hidden="false" customHeight="false" outlineLevel="0" collapsed="false">
      <c r="A18" s="0" t="s">
        <v>342</v>
      </c>
      <c r="B18" s="13" t="n">
        <f aca="false">B15*'02 Budget Assumptions'!$C$9</f>
        <v>7413.12</v>
      </c>
      <c r="C18" s="13" t="n">
        <f aca="false">C15*'02 Budget Assumptions'!$C$9</f>
        <v>8648.64</v>
      </c>
      <c r="D18" s="13" t="n">
        <f aca="false">D15*'02 Budget Assumptions'!$C$9</f>
        <v>9884.16</v>
      </c>
      <c r="E18" s="13" t="n">
        <f aca="false">E15*'02 Budget Assumptions'!$C$9</f>
        <v>9884.16</v>
      </c>
      <c r="F18" s="13" t="n">
        <f aca="false">F15*'02 Budget Assumptions'!$C$9</f>
        <v>11119.68</v>
      </c>
      <c r="G18" s="13" t="n">
        <f aca="false">G15*'02 Budget Assumptions'!$C$9</f>
        <v>11119.68</v>
      </c>
      <c r="H18" s="13" t="n">
        <f aca="false">H15*'02 Budget Assumptions'!$C$9</f>
        <v>12355.2</v>
      </c>
      <c r="I18" s="13" t="n">
        <f aca="false">I15*'02 Budget Assumptions'!$C$9</f>
        <v>12355.2</v>
      </c>
      <c r="J18" s="13" t="n">
        <f aca="false">J15*'02 Budget Assumptions'!$C$9</f>
        <v>11119.68</v>
      </c>
      <c r="K18" s="13" t="n">
        <f aca="false">K15*'02 Budget Assumptions'!$C$9</f>
        <v>11119.68</v>
      </c>
      <c r="L18" s="13" t="n">
        <f aca="false">L15*'02 Budget Assumptions'!$C$9</f>
        <v>9884.16</v>
      </c>
      <c r="M18" s="13" t="n">
        <f aca="false">M15*'02 Budget Assumptions'!$C$9</f>
        <v>8648.64</v>
      </c>
    </row>
    <row r="19" customFormat="false" ht="15" hidden="false" customHeight="false" outlineLevel="0" collapsed="false">
      <c r="A19" s="0" t="s">
        <v>343</v>
      </c>
      <c r="B19" s="13" t="n">
        <f aca="false">MIN(B18,B20*'02 Budget Assumptions'!$C$10)</f>
        <v>7413.12</v>
      </c>
      <c r="C19" s="13" t="n">
        <f aca="false">MIN(C18,C20*'02 Budget Assumptions'!$C$10)</f>
        <v>8648.64</v>
      </c>
      <c r="D19" s="13" t="n">
        <f aca="false">MIN(D18,D20*'02 Budget Assumptions'!$C$10)</f>
        <v>9884.16</v>
      </c>
      <c r="E19" s="13" t="n">
        <f aca="false">MIN(E18,E20*'02 Budget Assumptions'!$C$10)</f>
        <v>9884.16</v>
      </c>
      <c r="F19" s="13" t="n">
        <f aca="false">MIN(F18,F20*'02 Budget Assumptions'!$C$10)</f>
        <v>11119.68</v>
      </c>
      <c r="G19" s="13" t="n">
        <f aca="false">MIN(G18,G20*'02 Budget Assumptions'!$C$10)</f>
        <v>11119.68</v>
      </c>
      <c r="H19" s="13" t="n">
        <f aca="false">MIN(H18,H20*'02 Budget Assumptions'!$C$10)</f>
        <v>12355.2</v>
      </c>
      <c r="I19" s="13" t="n">
        <f aca="false">MIN(I18,I20*'02 Budget Assumptions'!$C$10)</f>
        <v>12355.2</v>
      </c>
      <c r="J19" s="13" t="n">
        <f aca="false">MIN(J18,J20*'02 Budget Assumptions'!$C$10)</f>
        <v>11119.68</v>
      </c>
      <c r="K19" s="13" t="n">
        <f aca="false">MIN(K18,K20*'02 Budget Assumptions'!$C$10)</f>
        <v>11119.68</v>
      </c>
      <c r="L19" s="13" t="n">
        <f aca="false">MIN(L18,L20*'02 Budget Assumptions'!$C$10)</f>
        <v>9884.16</v>
      </c>
      <c r="M19" s="13" t="n">
        <f aca="false">MIN(M18,M20*'02 Budget Assumptions'!$C$10)</f>
        <v>8648.64</v>
      </c>
    </row>
    <row r="20" customFormat="false" ht="15" hidden="false" customHeight="false" outlineLevel="0" collapsed="false">
      <c r="A20" s="0" t="s">
        <v>7</v>
      </c>
      <c r="B20" s="13" t="n">
        <f aca="false">'02 Budget Assumptions'!$F$36*'02 Budget Assumptions'!B$29*(1+'02 Budget Assumptions'!$C$6)</f>
        <v>16758</v>
      </c>
      <c r="C20" s="13" t="n">
        <f aca="false">'02 Budget Assumptions'!$F$36*'02 Budget Assumptions'!C$29*(1+'02 Budget Assumptions'!$C$6)</f>
        <v>16758</v>
      </c>
      <c r="D20" s="13" t="n">
        <f aca="false">'02 Budget Assumptions'!$F$36*'02 Budget Assumptions'!D$29*(1+'02 Budget Assumptions'!$C$6)</f>
        <v>19152</v>
      </c>
      <c r="E20" s="13" t="n">
        <f aca="false">'02 Budget Assumptions'!$F$36*'02 Budget Assumptions'!E$29*(1+'02 Budget Assumptions'!$C$6)</f>
        <v>19152</v>
      </c>
      <c r="F20" s="13" t="n">
        <f aca="false">'02 Budget Assumptions'!$F$36*'02 Budget Assumptions'!F$29*(1+'02 Budget Assumptions'!$C$6)</f>
        <v>21546</v>
      </c>
      <c r="G20" s="13" t="n">
        <f aca="false">'02 Budget Assumptions'!$F$36*'02 Budget Assumptions'!G$29*(1+'02 Budget Assumptions'!$C$6)</f>
        <v>21546</v>
      </c>
      <c r="H20" s="13" t="n">
        <f aca="false">'02 Budget Assumptions'!$F$36*'02 Budget Assumptions'!H$29*(1+'02 Budget Assumptions'!$C$6)</f>
        <v>21546</v>
      </c>
      <c r="I20" s="13" t="n">
        <f aca="false">'02 Budget Assumptions'!$F$36*'02 Budget Assumptions'!I$29*(1+'02 Budget Assumptions'!$C$6)</f>
        <v>23940</v>
      </c>
      <c r="J20" s="13" t="n">
        <f aca="false">'02 Budget Assumptions'!$F$36*'02 Budget Assumptions'!J$29*(1+'02 Budget Assumptions'!$C$6)</f>
        <v>23940</v>
      </c>
      <c r="K20" s="13" t="n">
        <f aca="false">'02 Budget Assumptions'!$F$36*'02 Budget Assumptions'!K$29*(1+'02 Budget Assumptions'!$C$6)</f>
        <v>21546</v>
      </c>
      <c r="L20" s="13" t="n">
        <f aca="false">'02 Budget Assumptions'!$F$36*'02 Budget Assumptions'!L$29*(1+'02 Budget Assumptions'!$C$6)</f>
        <v>19152</v>
      </c>
      <c r="M20" s="13" t="n">
        <f aca="false">'02 Budget Assumptions'!$F$36*'02 Budget Assumptions'!M$29*(1+'02 Budget Assumptions'!$C$6)</f>
        <v>14364</v>
      </c>
    </row>
    <row r="22" customFormat="false" ht="15" hidden="false" customHeight="false" outlineLevel="0" collapsed="false">
      <c r="A22" s="9" t="s">
        <v>107</v>
      </c>
      <c r="B22" s="9"/>
      <c r="C22" s="9"/>
      <c r="D22" s="9"/>
      <c r="E22" s="9"/>
      <c r="F22" s="9"/>
      <c r="G22" s="9"/>
      <c r="H22" s="9"/>
      <c r="I22" s="9"/>
      <c r="J22" s="9"/>
      <c r="K22" s="9"/>
      <c r="L22" s="9"/>
      <c r="M22" s="9"/>
      <c r="N22" s="9"/>
    </row>
    <row r="23" customFormat="false" ht="15" hidden="false" customHeight="false" outlineLevel="0" collapsed="false">
      <c r="A23" s="0" t="s">
        <v>338</v>
      </c>
      <c r="B23" s="8" t="n">
        <f aca="false">'02 Budget Assumptions'!$C$37*'02 Budget Assumptions'!B$28</f>
        <v>4.5</v>
      </c>
      <c r="C23" s="8" t="n">
        <f aca="false">'02 Budget Assumptions'!$C$37*'02 Budget Assumptions'!C$28</f>
        <v>5.25</v>
      </c>
      <c r="D23" s="8" t="n">
        <f aca="false">'02 Budget Assumptions'!$C$37*'02 Budget Assumptions'!D$28</f>
        <v>6</v>
      </c>
      <c r="E23" s="8" t="n">
        <f aca="false">'02 Budget Assumptions'!$C$37*'02 Budget Assumptions'!E$28</f>
        <v>6</v>
      </c>
      <c r="F23" s="8" t="n">
        <f aca="false">'02 Budget Assumptions'!$C$37*'02 Budget Assumptions'!F$28</f>
        <v>6.75</v>
      </c>
      <c r="G23" s="8" t="n">
        <f aca="false">'02 Budget Assumptions'!$C$37*'02 Budget Assumptions'!G$28</f>
        <v>6.75</v>
      </c>
      <c r="H23" s="8" t="n">
        <f aca="false">'02 Budget Assumptions'!$C$37*'02 Budget Assumptions'!H$28</f>
        <v>7.5</v>
      </c>
      <c r="I23" s="8" t="n">
        <f aca="false">'02 Budget Assumptions'!$C$37*'02 Budget Assumptions'!I$28</f>
        <v>7.5</v>
      </c>
      <c r="J23" s="8" t="n">
        <f aca="false">'02 Budget Assumptions'!$C$37*'02 Budget Assumptions'!J$28</f>
        <v>6.75</v>
      </c>
      <c r="K23" s="8" t="n">
        <f aca="false">'02 Budget Assumptions'!$C$37*'02 Budget Assumptions'!K$28</f>
        <v>6.75</v>
      </c>
      <c r="L23" s="8" t="n">
        <f aca="false">'02 Budget Assumptions'!$C$37*'02 Budget Assumptions'!L$28</f>
        <v>6</v>
      </c>
      <c r="M23" s="8" t="n">
        <f aca="false">'02 Budget Assumptions'!$C$37*'02 Budget Assumptions'!M$28</f>
        <v>5.25</v>
      </c>
    </row>
    <row r="24" customFormat="false" ht="15" hidden="false" customHeight="false" outlineLevel="0" collapsed="false">
      <c r="A24" s="0" t="s">
        <v>339</v>
      </c>
      <c r="B24" s="13" t="n">
        <f aca="false">B23*'02 Budget Assumptions'!$D$37*(1+'02 Budget Assumptions'!$C$7)</f>
        <v>23166</v>
      </c>
      <c r="C24" s="13" t="n">
        <f aca="false">C23*'02 Budget Assumptions'!$D$37*(1+'02 Budget Assumptions'!$C$7)</f>
        <v>27027</v>
      </c>
      <c r="D24" s="13" t="n">
        <f aca="false">D23*'02 Budget Assumptions'!$D$37*(1+'02 Budget Assumptions'!$C$7)</f>
        <v>30888</v>
      </c>
      <c r="E24" s="13" t="n">
        <f aca="false">E23*'02 Budget Assumptions'!$D$37*(1+'02 Budget Assumptions'!$C$7)</f>
        <v>30888</v>
      </c>
      <c r="F24" s="13" t="n">
        <f aca="false">F23*'02 Budget Assumptions'!$D$37*(1+'02 Budget Assumptions'!$C$7)</f>
        <v>34749</v>
      </c>
      <c r="G24" s="13" t="n">
        <f aca="false">G23*'02 Budget Assumptions'!$D$37*(1+'02 Budget Assumptions'!$C$7)</f>
        <v>34749</v>
      </c>
      <c r="H24" s="13" t="n">
        <f aca="false">H23*'02 Budget Assumptions'!$D$37*(1+'02 Budget Assumptions'!$C$7)</f>
        <v>38610</v>
      </c>
      <c r="I24" s="13" t="n">
        <f aca="false">I23*'02 Budget Assumptions'!$D$37*(1+'02 Budget Assumptions'!$C$7)</f>
        <v>38610</v>
      </c>
      <c r="J24" s="13" t="n">
        <f aca="false">J23*'02 Budget Assumptions'!$D$37*(1+'02 Budget Assumptions'!$C$7)</f>
        <v>34749</v>
      </c>
      <c r="K24" s="13" t="n">
        <f aca="false">K23*'02 Budget Assumptions'!$D$37*(1+'02 Budget Assumptions'!$C$7)</f>
        <v>34749</v>
      </c>
      <c r="L24" s="13" t="n">
        <f aca="false">L23*'02 Budget Assumptions'!$D$37*(1+'02 Budget Assumptions'!$C$7)</f>
        <v>30888</v>
      </c>
      <c r="M24" s="13" t="n">
        <f aca="false">M23*'02 Budget Assumptions'!$D$37*(1+'02 Budget Assumptions'!$C$7)</f>
        <v>27027</v>
      </c>
    </row>
    <row r="25" customFormat="false" ht="15" hidden="false" customHeight="false" outlineLevel="0" collapsed="false">
      <c r="A25" s="0" t="s">
        <v>340</v>
      </c>
      <c r="B25" s="13" t="n">
        <f aca="false">B24*'02 Budget Assumptions'!$E$37</f>
        <v>18532.8</v>
      </c>
      <c r="C25" s="13" t="n">
        <f aca="false">C24*'02 Budget Assumptions'!$E$37</f>
        <v>21621.6</v>
      </c>
      <c r="D25" s="13" t="n">
        <f aca="false">D24*'02 Budget Assumptions'!$E$37</f>
        <v>24710.4</v>
      </c>
      <c r="E25" s="13" t="n">
        <f aca="false">E24*'02 Budget Assumptions'!$E$37</f>
        <v>24710.4</v>
      </c>
      <c r="F25" s="13" t="n">
        <f aca="false">F24*'02 Budget Assumptions'!$E$37</f>
        <v>27799.2</v>
      </c>
      <c r="G25" s="13" t="n">
        <f aca="false">G24*'02 Budget Assumptions'!$E$37</f>
        <v>27799.2</v>
      </c>
      <c r="H25" s="13" t="n">
        <f aca="false">H24*'02 Budget Assumptions'!$E$37</f>
        <v>30888</v>
      </c>
      <c r="I25" s="13" t="n">
        <f aca="false">I24*'02 Budget Assumptions'!$E$37</f>
        <v>30888</v>
      </c>
      <c r="J25" s="13" t="n">
        <f aca="false">J24*'02 Budget Assumptions'!$E$37</f>
        <v>27799.2</v>
      </c>
      <c r="K25" s="13" t="n">
        <f aca="false">K24*'02 Budget Assumptions'!$E$37</f>
        <v>27799.2</v>
      </c>
      <c r="L25" s="13" t="n">
        <f aca="false">L24*'02 Budget Assumptions'!$E$37</f>
        <v>24710.4</v>
      </c>
      <c r="M25" s="13" t="n">
        <f aca="false">M24*'02 Budget Assumptions'!$E$37</f>
        <v>21621.6</v>
      </c>
    </row>
    <row r="26" customFormat="false" ht="15" hidden="false" customHeight="false" outlineLevel="0" collapsed="false">
      <c r="A26" s="0" t="s">
        <v>341</v>
      </c>
      <c r="B26" s="13" t="n">
        <f aca="false">B24*(1-'02 Budget Assumptions'!$E$37)</f>
        <v>4633.2</v>
      </c>
      <c r="C26" s="13" t="n">
        <f aca="false">C24*(1-'02 Budget Assumptions'!$E$37)</f>
        <v>5405.4</v>
      </c>
      <c r="D26" s="13" t="n">
        <f aca="false">D24*(1-'02 Budget Assumptions'!$E$37)</f>
        <v>6177.6</v>
      </c>
      <c r="E26" s="13" t="n">
        <f aca="false">E24*(1-'02 Budget Assumptions'!$E$37)</f>
        <v>6177.6</v>
      </c>
      <c r="F26" s="13" t="n">
        <f aca="false">F24*(1-'02 Budget Assumptions'!$E$37)</f>
        <v>6949.8</v>
      </c>
      <c r="G26" s="13" t="n">
        <f aca="false">G24*(1-'02 Budget Assumptions'!$E$37)</f>
        <v>6949.8</v>
      </c>
      <c r="H26" s="13" t="n">
        <f aca="false">H24*(1-'02 Budget Assumptions'!$E$37)</f>
        <v>7722</v>
      </c>
      <c r="I26" s="13" t="n">
        <f aca="false">I24*(1-'02 Budget Assumptions'!$E$37)</f>
        <v>7722</v>
      </c>
      <c r="J26" s="13" t="n">
        <f aca="false">J24*(1-'02 Budget Assumptions'!$E$37)</f>
        <v>6949.8</v>
      </c>
      <c r="K26" s="13" t="n">
        <f aca="false">K24*(1-'02 Budget Assumptions'!$E$37)</f>
        <v>6949.8</v>
      </c>
      <c r="L26" s="13" t="n">
        <f aca="false">L24*(1-'02 Budget Assumptions'!$E$37)</f>
        <v>6177.6</v>
      </c>
      <c r="M26" s="13" t="n">
        <f aca="false">M24*(1-'02 Budget Assumptions'!$E$37)</f>
        <v>5405.4</v>
      </c>
    </row>
    <row r="27" customFormat="false" ht="15" hidden="false" customHeight="false" outlineLevel="0" collapsed="false">
      <c r="A27" s="0" t="s">
        <v>342</v>
      </c>
      <c r="B27" s="13" t="n">
        <f aca="false">B24*'02 Budget Assumptions'!$C$9</f>
        <v>6949.8</v>
      </c>
      <c r="C27" s="13" t="n">
        <f aca="false">C24*'02 Budget Assumptions'!$C$9</f>
        <v>8108.1</v>
      </c>
      <c r="D27" s="13" t="n">
        <f aca="false">D24*'02 Budget Assumptions'!$C$9</f>
        <v>9266.4</v>
      </c>
      <c r="E27" s="13" t="n">
        <f aca="false">E24*'02 Budget Assumptions'!$C$9</f>
        <v>9266.4</v>
      </c>
      <c r="F27" s="13" t="n">
        <f aca="false">F24*'02 Budget Assumptions'!$C$9</f>
        <v>10424.7</v>
      </c>
      <c r="G27" s="13" t="n">
        <f aca="false">G24*'02 Budget Assumptions'!$C$9</f>
        <v>10424.7</v>
      </c>
      <c r="H27" s="13" t="n">
        <f aca="false">H24*'02 Budget Assumptions'!$C$9</f>
        <v>11583</v>
      </c>
      <c r="I27" s="13" t="n">
        <f aca="false">I24*'02 Budget Assumptions'!$C$9</f>
        <v>11583</v>
      </c>
      <c r="J27" s="13" t="n">
        <f aca="false">J24*'02 Budget Assumptions'!$C$9</f>
        <v>10424.7</v>
      </c>
      <c r="K27" s="13" t="n">
        <f aca="false">K24*'02 Budget Assumptions'!$C$9</f>
        <v>10424.7</v>
      </c>
      <c r="L27" s="13" t="n">
        <f aca="false">L24*'02 Budget Assumptions'!$C$9</f>
        <v>9266.4</v>
      </c>
      <c r="M27" s="13" t="n">
        <f aca="false">M24*'02 Budget Assumptions'!$C$9</f>
        <v>8108.1</v>
      </c>
    </row>
    <row r="28" customFormat="false" ht="15" hidden="false" customHeight="false" outlineLevel="0" collapsed="false">
      <c r="A28" s="0" t="s">
        <v>343</v>
      </c>
      <c r="B28" s="13" t="n">
        <f aca="false">MIN(B27,B29*'02 Budget Assumptions'!$C$10)</f>
        <v>6949.8</v>
      </c>
      <c r="C28" s="13" t="n">
        <f aca="false">MIN(C27,C29*'02 Budget Assumptions'!$C$10)</f>
        <v>8108.1</v>
      </c>
      <c r="D28" s="13" t="n">
        <f aca="false">MIN(D27,D29*'02 Budget Assumptions'!$C$10)</f>
        <v>9266.4</v>
      </c>
      <c r="E28" s="13" t="n">
        <f aca="false">MIN(E27,E29*'02 Budget Assumptions'!$C$10)</f>
        <v>9266.4</v>
      </c>
      <c r="F28" s="13" t="n">
        <f aca="false">MIN(F27,F29*'02 Budget Assumptions'!$C$10)</f>
        <v>10424.7</v>
      </c>
      <c r="G28" s="13" t="n">
        <f aca="false">MIN(G27,G29*'02 Budget Assumptions'!$C$10)</f>
        <v>10424.7</v>
      </c>
      <c r="H28" s="13" t="n">
        <f aca="false">MIN(H27,H29*'02 Budget Assumptions'!$C$10)</f>
        <v>11583</v>
      </c>
      <c r="I28" s="13" t="n">
        <f aca="false">MIN(I27,I29*'02 Budget Assumptions'!$C$10)</f>
        <v>11583</v>
      </c>
      <c r="J28" s="13" t="n">
        <f aca="false">MIN(J27,J29*'02 Budget Assumptions'!$C$10)</f>
        <v>10424.7</v>
      </c>
      <c r="K28" s="13" t="n">
        <f aca="false">MIN(K27,K29*'02 Budget Assumptions'!$C$10)</f>
        <v>10424.7</v>
      </c>
      <c r="L28" s="13" t="n">
        <f aca="false">MIN(L27,L29*'02 Budget Assumptions'!$C$10)</f>
        <v>9266.4</v>
      </c>
      <c r="M28" s="13" t="n">
        <f aca="false">MIN(M27,M29*'02 Budget Assumptions'!$C$10)</f>
        <v>8108.1</v>
      </c>
    </row>
    <row r="29" customFormat="false" ht="15" hidden="false" customHeight="false" outlineLevel="0" collapsed="false">
      <c r="A29" s="0" t="s">
        <v>7</v>
      </c>
      <c r="B29" s="13" t="n">
        <f aca="false">'02 Budget Assumptions'!$F$37*'02 Budget Assumptions'!B$29*(1+'02 Budget Assumptions'!$C$6)</f>
        <v>18081</v>
      </c>
      <c r="C29" s="13" t="n">
        <f aca="false">'02 Budget Assumptions'!$F$37*'02 Budget Assumptions'!C$29*(1+'02 Budget Assumptions'!$C$6)</f>
        <v>18081</v>
      </c>
      <c r="D29" s="13" t="n">
        <f aca="false">'02 Budget Assumptions'!$F$37*'02 Budget Assumptions'!D$29*(1+'02 Budget Assumptions'!$C$6)</f>
        <v>20664</v>
      </c>
      <c r="E29" s="13" t="n">
        <f aca="false">'02 Budget Assumptions'!$F$37*'02 Budget Assumptions'!E$29*(1+'02 Budget Assumptions'!$C$6)</f>
        <v>20664</v>
      </c>
      <c r="F29" s="13" t="n">
        <f aca="false">'02 Budget Assumptions'!$F$37*'02 Budget Assumptions'!F$29*(1+'02 Budget Assumptions'!$C$6)</f>
        <v>23247</v>
      </c>
      <c r="G29" s="13" t="n">
        <f aca="false">'02 Budget Assumptions'!$F$37*'02 Budget Assumptions'!G$29*(1+'02 Budget Assumptions'!$C$6)</f>
        <v>23247</v>
      </c>
      <c r="H29" s="13" t="n">
        <f aca="false">'02 Budget Assumptions'!$F$37*'02 Budget Assumptions'!H$29*(1+'02 Budget Assumptions'!$C$6)</f>
        <v>23247</v>
      </c>
      <c r="I29" s="13" t="n">
        <f aca="false">'02 Budget Assumptions'!$F$37*'02 Budget Assumptions'!I$29*(1+'02 Budget Assumptions'!$C$6)</f>
        <v>25830</v>
      </c>
      <c r="J29" s="13" t="n">
        <f aca="false">'02 Budget Assumptions'!$F$37*'02 Budget Assumptions'!J$29*(1+'02 Budget Assumptions'!$C$6)</f>
        <v>25830</v>
      </c>
      <c r="K29" s="13" t="n">
        <f aca="false">'02 Budget Assumptions'!$F$37*'02 Budget Assumptions'!K$29*(1+'02 Budget Assumptions'!$C$6)</f>
        <v>23247</v>
      </c>
      <c r="L29" s="13" t="n">
        <f aca="false">'02 Budget Assumptions'!$F$37*'02 Budget Assumptions'!L$29*(1+'02 Budget Assumptions'!$C$6)</f>
        <v>20664</v>
      </c>
      <c r="M29" s="13" t="n">
        <f aca="false">'02 Budget Assumptions'!$F$37*'02 Budget Assumptions'!M$29*(1+'02 Budget Assumptions'!$C$6)</f>
        <v>15498</v>
      </c>
    </row>
    <row r="31" customFormat="false" ht="15" hidden="false" customHeight="false" outlineLevel="0" collapsed="false">
      <c r="A31" s="9" t="s">
        <v>109</v>
      </c>
      <c r="B31" s="9"/>
      <c r="C31" s="9"/>
      <c r="D31" s="9"/>
      <c r="E31" s="9"/>
      <c r="F31" s="9"/>
      <c r="G31" s="9"/>
      <c r="H31" s="9"/>
      <c r="I31" s="9"/>
      <c r="J31" s="9"/>
      <c r="K31" s="9"/>
      <c r="L31" s="9"/>
      <c r="M31" s="9"/>
      <c r="N31" s="9"/>
    </row>
    <row r="32" customFormat="false" ht="15" hidden="false" customHeight="false" outlineLevel="0" collapsed="false">
      <c r="A32" s="0" t="s">
        <v>338</v>
      </c>
      <c r="B32" s="8" t="n">
        <f aca="false">'02 Budget Assumptions'!$C$38*'02 Budget Assumptions'!B$28</f>
        <v>3.12</v>
      </c>
      <c r="C32" s="8" t="n">
        <f aca="false">'02 Budget Assumptions'!$C$38*'02 Budget Assumptions'!C$28</f>
        <v>3.64</v>
      </c>
      <c r="D32" s="8" t="n">
        <f aca="false">'02 Budget Assumptions'!$C$38*'02 Budget Assumptions'!D$28</f>
        <v>4.16</v>
      </c>
      <c r="E32" s="8" t="n">
        <f aca="false">'02 Budget Assumptions'!$C$38*'02 Budget Assumptions'!E$28</f>
        <v>4.16</v>
      </c>
      <c r="F32" s="8" t="n">
        <f aca="false">'02 Budget Assumptions'!$C$38*'02 Budget Assumptions'!F$28</f>
        <v>4.68</v>
      </c>
      <c r="G32" s="8" t="n">
        <f aca="false">'02 Budget Assumptions'!$C$38*'02 Budget Assumptions'!G$28</f>
        <v>4.68</v>
      </c>
      <c r="H32" s="8" t="n">
        <f aca="false">'02 Budget Assumptions'!$C$38*'02 Budget Assumptions'!H$28</f>
        <v>5.2</v>
      </c>
      <c r="I32" s="8" t="n">
        <f aca="false">'02 Budget Assumptions'!$C$38*'02 Budget Assumptions'!I$28</f>
        <v>5.2</v>
      </c>
      <c r="J32" s="8" t="n">
        <f aca="false">'02 Budget Assumptions'!$C$38*'02 Budget Assumptions'!J$28</f>
        <v>4.68</v>
      </c>
      <c r="K32" s="8" t="n">
        <f aca="false">'02 Budget Assumptions'!$C$38*'02 Budget Assumptions'!K$28</f>
        <v>4.68</v>
      </c>
      <c r="L32" s="8" t="n">
        <f aca="false">'02 Budget Assumptions'!$C$38*'02 Budget Assumptions'!L$28</f>
        <v>4.16</v>
      </c>
      <c r="M32" s="8" t="n">
        <f aca="false">'02 Budget Assumptions'!$C$38*'02 Budget Assumptions'!M$28</f>
        <v>3.64</v>
      </c>
    </row>
    <row r="33" customFormat="false" ht="15" hidden="false" customHeight="false" outlineLevel="0" collapsed="false">
      <c r="A33" s="0" t="s">
        <v>339</v>
      </c>
      <c r="B33" s="13" t="n">
        <f aca="false">B32*'02 Budget Assumptions'!$D$38*(1+'02 Budget Assumptions'!$C$7)</f>
        <v>28229.76</v>
      </c>
      <c r="C33" s="13" t="n">
        <f aca="false">C32*'02 Budget Assumptions'!$D$38*(1+'02 Budget Assumptions'!$C$7)</f>
        <v>32934.72</v>
      </c>
      <c r="D33" s="13" t="n">
        <f aca="false">D32*'02 Budget Assumptions'!$D$38*(1+'02 Budget Assumptions'!$C$7)</f>
        <v>37639.68</v>
      </c>
      <c r="E33" s="13" t="n">
        <f aca="false">E32*'02 Budget Assumptions'!$D$38*(1+'02 Budget Assumptions'!$C$7)</f>
        <v>37639.68</v>
      </c>
      <c r="F33" s="13" t="n">
        <f aca="false">F32*'02 Budget Assumptions'!$D$38*(1+'02 Budget Assumptions'!$C$7)</f>
        <v>42344.64</v>
      </c>
      <c r="G33" s="13" t="n">
        <f aca="false">G32*'02 Budget Assumptions'!$D$38*(1+'02 Budget Assumptions'!$C$7)</f>
        <v>42344.64</v>
      </c>
      <c r="H33" s="13" t="n">
        <f aca="false">H32*'02 Budget Assumptions'!$D$38*(1+'02 Budget Assumptions'!$C$7)</f>
        <v>47049.6</v>
      </c>
      <c r="I33" s="13" t="n">
        <f aca="false">I32*'02 Budget Assumptions'!$D$38*(1+'02 Budget Assumptions'!$C$7)</f>
        <v>47049.6</v>
      </c>
      <c r="J33" s="13" t="n">
        <f aca="false">J32*'02 Budget Assumptions'!$D$38*(1+'02 Budget Assumptions'!$C$7)</f>
        <v>42344.64</v>
      </c>
      <c r="K33" s="13" t="n">
        <f aca="false">K32*'02 Budget Assumptions'!$D$38*(1+'02 Budget Assumptions'!$C$7)</f>
        <v>42344.64</v>
      </c>
      <c r="L33" s="13" t="n">
        <f aca="false">L32*'02 Budget Assumptions'!$D$38*(1+'02 Budget Assumptions'!$C$7)</f>
        <v>37639.68</v>
      </c>
      <c r="M33" s="13" t="n">
        <f aca="false">M32*'02 Budget Assumptions'!$D$38*(1+'02 Budget Assumptions'!$C$7)</f>
        <v>32934.72</v>
      </c>
    </row>
    <row r="34" customFormat="false" ht="15" hidden="false" customHeight="false" outlineLevel="0" collapsed="false">
      <c r="A34" s="0" t="s">
        <v>340</v>
      </c>
      <c r="B34" s="13" t="n">
        <f aca="false">B33*'02 Budget Assumptions'!$E$38</f>
        <v>16937.856</v>
      </c>
      <c r="C34" s="13" t="n">
        <f aca="false">C33*'02 Budget Assumptions'!$E$38</f>
        <v>19760.832</v>
      </c>
      <c r="D34" s="13" t="n">
        <f aca="false">D33*'02 Budget Assumptions'!$E$38</f>
        <v>22583.808</v>
      </c>
      <c r="E34" s="13" t="n">
        <f aca="false">E33*'02 Budget Assumptions'!$E$38</f>
        <v>22583.808</v>
      </c>
      <c r="F34" s="13" t="n">
        <f aca="false">F33*'02 Budget Assumptions'!$E$38</f>
        <v>25406.784</v>
      </c>
      <c r="G34" s="13" t="n">
        <f aca="false">G33*'02 Budget Assumptions'!$E$38</f>
        <v>25406.784</v>
      </c>
      <c r="H34" s="13" t="n">
        <f aca="false">H33*'02 Budget Assumptions'!$E$38</f>
        <v>28229.76</v>
      </c>
      <c r="I34" s="13" t="n">
        <f aca="false">I33*'02 Budget Assumptions'!$E$38</f>
        <v>28229.76</v>
      </c>
      <c r="J34" s="13" t="n">
        <f aca="false">J33*'02 Budget Assumptions'!$E$38</f>
        <v>25406.784</v>
      </c>
      <c r="K34" s="13" t="n">
        <f aca="false">K33*'02 Budget Assumptions'!$E$38</f>
        <v>25406.784</v>
      </c>
      <c r="L34" s="13" t="n">
        <f aca="false">L33*'02 Budget Assumptions'!$E$38</f>
        <v>22583.808</v>
      </c>
      <c r="M34" s="13" t="n">
        <f aca="false">M33*'02 Budget Assumptions'!$E$38</f>
        <v>19760.832</v>
      </c>
    </row>
    <row r="35" customFormat="false" ht="15" hidden="false" customHeight="false" outlineLevel="0" collapsed="false">
      <c r="A35" s="0" t="s">
        <v>341</v>
      </c>
      <c r="B35" s="13" t="n">
        <f aca="false">B33*(1-'02 Budget Assumptions'!$E$38)</f>
        <v>11291.904</v>
      </c>
      <c r="C35" s="13" t="n">
        <f aca="false">C33*(1-'02 Budget Assumptions'!$E$38)</f>
        <v>13173.888</v>
      </c>
      <c r="D35" s="13" t="n">
        <f aca="false">D33*(1-'02 Budget Assumptions'!$E$38)</f>
        <v>15055.872</v>
      </c>
      <c r="E35" s="13" t="n">
        <f aca="false">E33*(1-'02 Budget Assumptions'!$E$38)</f>
        <v>15055.872</v>
      </c>
      <c r="F35" s="13" t="n">
        <f aca="false">F33*(1-'02 Budget Assumptions'!$E$38)</f>
        <v>16937.856</v>
      </c>
      <c r="G35" s="13" t="n">
        <f aca="false">G33*(1-'02 Budget Assumptions'!$E$38)</f>
        <v>16937.856</v>
      </c>
      <c r="H35" s="13" t="n">
        <f aca="false">H33*(1-'02 Budget Assumptions'!$E$38)</f>
        <v>18819.84</v>
      </c>
      <c r="I35" s="13" t="n">
        <f aca="false">I33*(1-'02 Budget Assumptions'!$E$38)</f>
        <v>18819.84</v>
      </c>
      <c r="J35" s="13" t="n">
        <f aca="false">J33*(1-'02 Budget Assumptions'!$E$38)</f>
        <v>16937.856</v>
      </c>
      <c r="K35" s="13" t="n">
        <f aca="false">K33*(1-'02 Budget Assumptions'!$E$38)</f>
        <v>16937.856</v>
      </c>
      <c r="L35" s="13" t="n">
        <f aca="false">L33*(1-'02 Budget Assumptions'!$E$38)</f>
        <v>15055.872</v>
      </c>
      <c r="M35" s="13" t="n">
        <f aca="false">M33*(1-'02 Budget Assumptions'!$E$38)</f>
        <v>13173.888</v>
      </c>
    </row>
    <row r="36" customFormat="false" ht="15" hidden="false" customHeight="false" outlineLevel="0" collapsed="false">
      <c r="A36" s="0" t="s">
        <v>342</v>
      </c>
      <c r="B36" s="13" t="n">
        <f aca="false">B33*'02 Budget Assumptions'!$C$9</f>
        <v>8468.928</v>
      </c>
      <c r="C36" s="13" t="n">
        <f aca="false">C33*'02 Budget Assumptions'!$C$9</f>
        <v>9880.416</v>
      </c>
      <c r="D36" s="13" t="n">
        <f aca="false">D33*'02 Budget Assumptions'!$C$9</f>
        <v>11291.904</v>
      </c>
      <c r="E36" s="13" t="n">
        <f aca="false">E33*'02 Budget Assumptions'!$C$9</f>
        <v>11291.904</v>
      </c>
      <c r="F36" s="13" t="n">
        <f aca="false">F33*'02 Budget Assumptions'!$C$9</f>
        <v>12703.392</v>
      </c>
      <c r="G36" s="13" t="n">
        <f aca="false">G33*'02 Budget Assumptions'!$C$9</f>
        <v>12703.392</v>
      </c>
      <c r="H36" s="13" t="n">
        <f aca="false">H33*'02 Budget Assumptions'!$C$9</f>
        <v>14114.88</v>
      </c>
      <c r="I36" s="13" t="n">
        <f aca="false">I33*'02 Budget Assumptions'!$C$9</f>
        <v>14114.88</v>
      </c>
      <c r="J36" s="13" t="n">
        <f aca="false">J33*'02 Budget Assumptions'!$C$9</f>
        <v>12703.392</v>
      </c>
      <c r="K36" s="13" t="n">
        <f aca="false">K33*'02 Budget Assumptions'!$C$9</f>
        <v>12703.392</v>
      </c>
      <c r="L36" s="13" t="n">
        <f aca="false">L33*'02 Budget Assumptions'!$C$9</f>
        <v>11291.904</v>
      </c>
      <c r="M36" s="13" t="n">
        <f aca="false">M33*'02 Budget Assumptions'!$C$9</f>
        <v>9880.416</v>
      </c>
    </row>
    <row r="37" customFormat="false" ht="15" hidden="false" customHeight="false" outlineLevel="0" collapsed="false">
      <c r="A37" s="0" t="s">
        <v>343</v>
      </c>
      <c r="B37" s="13" t="n">
        <f aca="false">MIN(B36,B38*'02 Budget Assumptions'!$C$10)</f>
        <v>8468.928</v>
      </c>
      <c r="C37" s="13" t="n">
        <f aca="false">MIN(C36,C38*'02 Budget Assumptions'!$C$10)</f>
        <v>9880.416</v>
      </c>
      <c r="D37" s="13" t="n">
        <f aca="false">MIN(D36,D38*'02 Budget Assumptions'!$C$10)</f>
        <v>11291.904</v>
      </c>
      <c r="E37" s="13" t="n">
        <f aca="false">MIN(E36,E38*'02 Budget Assumptions'!$C$10)</f>
        <v>11291.904</v>
      </c>
      <c r="F37" s="13" t="n">
        <f aca="false">MIN(F36,F38*'02 Budget Assumptions'!$C$10)</f>
        <v>12703.392</v>
      </c>
      <c r="G37" s="13" t="n">
        <f aca="false">MIN(G36,G38*'02 Budget Assumptions'!$C$10)</f>
        <v>12703.392</v>
      </c>
      <c r="H37" s="13" t="n">
        <f aca="false">MIN(H36,H38*'02 Budget Assumptions'!$C$10)</f>
        <v>14114.88</v>
      </c>
      <c r="I37" s="13" t="n">
        <f aca="false">MIN(I36,I38*'02 Budget Assumptions'!$C$10)</f>
        <v>14114.88</v>
      </c>
      <c r="J37" s="13" t="n">
        <f aca="false">MIN(J36,J38*'02 Budget Assumptions'!$C$10)</f>
        <v>12703.392</v>
      </c>
      <c r="K37" s="13" t="n">
        <f aca="false">MIN(K36,K38*'02 Budget Assumptions'!$C$10)</f>
        <v>12703.392</v>
      </c>
      <c r="L37" s="13" t="n">
        <f aca="false">MIN(L36,L38*'02 Budget Assumptions'!$C$10)</f>
        <v>11291.904</v>
      </c>
      <c r="M37" s="13" t="n">
        <f aca="false">MIN(M36,M38*'02 Budget Assumptions'!$C$10)</f>
        <v>9880.416</v>
      </c>
    </row>
    <row r="38" customFormat="false" ht="15" hidden="false" customHeight="false" outlineLevel="0" collapsed="false">
      <c r="A38" s="0" t="s">
        <v>7</v>
      </c>
      <c r="B38" s="13" t="n">
        <f aca="false">'02 Budget Assumptions'!$F$38*'02 Budget Assumptions'!B$29*(1+'02 Budget Assumptions'!$C$6)</f>
        <v>23373</v>
      </c>
      <c r="C38" s="13" t="n">
        <f aca="false">'02 Budget Assumptions'!$F$38*'02 Budget Assumptions'!C$29*(1+'02 Budget Assumptions'!$C$6)</f>
        <v>23373</v>
      </c>
      <c r="D38" s="13" t="n">
        <f aca="false">'02 Budget Assumptions'!$F$38*'02 Budget Assumptions'!D$29*(1+'02 Budget Assumptions'!$C$6)</f>
        <v>26712</v>
      </c>
      <c r="E38" s="13" t="n">
        <f aca="false">'02 Budget Assumptions'!$F$38*'02 Budget Assumptions'!E$29*(1+'02 Budget Assumptions'!$C$6)</f>
        <v>26712</v>
      </c>
      <c r="F38" s="13" t="n">
        <f aca="false">'02 Budget Assumptions'!$F$38*'02 Budget Assumptions'!F$29*(1+'02 Budget Assumptions'!$C$6)</f>
        <v>30051</v>
      </c>
      <c r="G38" s="13" t="n">
        <f aca="false">'02 Budget Assumptions'!$F$38*'02 Budget Assumptions'!G$29*(1+'02 Budget Assumptions'!$C$6)</f>
        <v>30051</v>
      </c>
      <c r="H38" s="13" t="n">
        <f aca="false">'02 Budget Assumptions'!$F$38*'02 Budget Assumptions'!H$29*(1+'02 Budget Assumptions'!$C$6)</f>
        <v>30051</v>
      </c>
      <c r="I38" s="13" t="n">
        <f aca="false">'02 Budget Assumptions'!$F$38*'02 Budget Assumptions'!I$29*(1+'02 Budget Assumptions'!$C$6)</f>
        <v>33390</v>
      </c>
      <c r="J38" s="13" t="n">
        <f aca="false">'02 Budget Assumptions'!$F$38*'02 Budget Assumptions'!J$29*(1+'02 Budget Assumptions'!$C$6)</f>
        <v>33390</v>
      </c>
      <c r="K38" s="13" t="n">
        <f aca="false">'02 Budget Assumptions'!$F$38*'02 Budget Assumptions'!K$29*(1+'02 Budget Assumptions'!$C$6)</f>
        <v>30051</v>
      </c>
      <c r="L38" s="13" t="n">
        <f aca="false">'02 Budget Assumptions'!$F$38*'02 Budget Assumptions'!L$29*(1+'02 Budget Assumptions'!$C$6)</f>
        <v>26712</v>
      </c>
      <c r="M38" s="13" t="n">
        <f aca="false">'02 Budget Assumptions'!$F$38*'02 Budget Assumptions'!M$29*(1+'02 Budget Assumptions'!$C$6)</f>
        <v>20034</v>
      </c>
    </row>
    <row r="40" customFormat="false" ht="15" hidden="false" customHeight="false" outlineLevel="0" collapsed="false">
      <c r="A40" s="9" t="s">
        <v>344</v>
      </c>
      <c r="B40" s="9"/>
      <c r="C40" s="9"/>
      <c r="D40" s="9"/>
      <c r="E40" s="9"/>
      <c r="F40" s="9"/>
      <c r="G40" s="9"/>
      <c r="H40" s="9"/>
      <c r="I40" s="9"/>
      <c r="J40" s="9"/>
      <c r="K40" s="9"/>
      <c r="L40" s="9"/>
      <c r="M40" s="9"/>
      <c r="N40" s="9"/>
    </row>
    <row r="41" customFormat="false" ht="15" hidden="false" customHeight="false" outlineLevel="0" collapsed="false">
      <c r="A41" s="0" t="s">
        <v>345</v>
      </c>
      <c r="B41" s="13" t="n">
        <f aca="false">SUM(B7,B16,B25,B34)</f>
        <v>73553.376</v>
      </c>
      <c r="C41" s="13" t="n">
        <f aca="false">SUM(C7,C16,C25,C34)</f>
        <v>85812.272</v>
      </c>
      <c r="D41" s="13" t="n">
        <f aca="false">SUM(D7,D16,D25,D34)</f>
        <v>98071.168</v>
      </c>
      <c r="E41" s="13" t="n">
        <f aca="false">SUM(E7,E16,E25,E34)</f>
        <v>98071.168</v>
      </c>
      <c r="F41" s="13" t="n">
        <f aca="false">SUM(F7,F16,F25,F34)</f>
        <v>110330.064</v>
      </c>
      <c r="G41" s="13" t="n">
        <f aca="false">SUM(G7,G16,G25,G34)</f>
        <v>110330.064</v>
      </c>
      <c r="H41" s="13" t="n">
        <f aca="false">SUM(H7,H16,H25,H34)</f>
        <v>122588.96</v>
      </c>
      <c r="I41" s="13" t="n">
        <f aca="false">SUM(I7,I16,I25,I34)</f>
        <v>122588.96</v>
      </c>
      <c r="J41" s="13" t="n">
        <f aca="false">SUM(J7,J16,J25,J34)</f>
        <v>110330.064</v>
      </c>
      <c r="K41" s="13" t="n">
        <f aca="false">SUM(K7,K16,K25,K34)</f>
        <v>110330.064</v>
      </c>
      <c r="L41" s="13" t="n">
        <f aca="false">SUM(L7,L16,L25,L34)</f>
        <v>98071.168</v>
      </c>
      <c r="M41" s="13" t="n">
        <f aca="false">SUM(M7,M16,M25,M34)</f>
        <v>85812.272</v>
      </c>
    </row>
    <row r="42" customFormat="false" ht="15" hidden="false" customHeight="false" outlineLevel="0" collapsed="false">
      <c r="A42" s="0" t="s">
        <v>346</v>
      </c>
      <c r="B42" s="13" t="n">
        <f aca="false">SUM(B8,B17,B26,B35)</f>
        <v>39306.384</v>
      </c>
      <c r="C42" s="13" t="n">
        <f aca="false">SUM(C8,C17,C26,C35)</f>
        <v>45857.448</v>
      </c>
      <c r="D42" s="13" t="n">
        <f aca="false">SUM(D8,D17,D26,D35)</f>
        <v>52408.512</v>
      </c>
      <c r="E42" s="13" t="n">
        <f aca="false">SUM(E8,E17,E26,E35)</f>
        <v>52408.512</v>
      </c>
      <c r="F42" s="13" t="n">
        <f aca="false">SUM(F8,F17,F26,F35)</f>
        <v>58959.576</v>
      </c>
      <c r="G42" s="13" t="n">
        <f aca="false">SUM(G8,G17,G26,G35)</f>
        <v>58959.576</v>
      </c>
      <c r="H42" s="13" t="n">
        <f aca="false">SUM(H8,H17,H26,H35)</f>
        <v>65510.64</v>
      </c>
      <c r="I42" s="13" t="n">
        <f aca="false">SUM(I8,I17,I26,I35)</f>
        <v>65510.64</v>
      </c>
      <c r="J42" s="13" t="n">
        <f aca="false">SUM(J8,J17,J26,J35)</f>
        <v>58959.576</v>
      </c>
      <c r="K42" s="13" t="n">
        <f aca="false">SUM(K8,K17,K26,K35)</f>
        <v>58959.576</v>
      </c>
      <c r="L42" s="13" t="n">
        <f aca="false">SUM(L8,L17,L26,L35)</f>
        <v>52408.512</v>
      </c>
      <c r="M42" s="13" t="n">
        <f aca="false">SUM(M8,M17,M26,M35)</f>
        <v>45857.448</v>
      </c>
    </row>
    <row r="43" customFormat="false" ht="15" hidden="false" customHeight="false" outlineLevel="0" collapsed="false">
      <c r="A43" s="0" t="s">
        <v>347</v>
      </c>
      <c r="B43" s="13" t="n">
        <f aca="false">SUM(B9,B18,B27,B36)</f>
        <v>33857.928</v>
      </c>
      <c r="C43" s="13" t="n">
        <f aca="false">SUM(C9,C18,C27,C36)</f>
        <v>39500.916</v>
      </c>
      <c r="D43" s="13" t="n">
        <f aca="false">SUM(D9,D18,D27,D36)</f>
        <v>45143.904</v>
      </c>
      <c r="E43" s="13" t="n">
        <f aca="false">SUM(E9,E18,E27,E36)</f>
        <v>45143.904</v>
      </c>
      <c r="F43" s="13" t="n">
        <f aca="false">SUM(F9,F18,F27,F36)</f>
        <v>50786.892</v>
      </c>
      <c r="G43" s="13" t="n">
        <f aca="false">SUM(G9,G18,G27,G36)</f>
        <v>50786.892</v>
      </c>
      <c r="H43" s="13" t="n">
        <f aca="false">SUM(H9,H18,H27,H36)</f>
        <v>56429.88</v>
      </c>
      <c r="I43" s="13" t="n">
        <f aca="false">SUM(I9,I18,I27,I36)</f>
        <v>56429.88</v>
      </c>
      <c r="J43" s="13" t="n">
        <f aca="false">SUM(J9,J18,J27,J36)</f>
        <v>50786.892</v>
      </c>
      <c r="K43" s="13" t="n">
        <f aca="false">SUM(K9,K18,K27,K36)</f>
        <v>50786.892</v>
      </c>
      <c r="L43" s="13" t="n">
        <f aca="false">SUM(L9,L18,L27,L36)</f>
        <v>45143.904</v>
      </c>
      <c r="M43" s="13" t="n">
        <f aca="false">SUM(M9,M18,M27,M36)</f>
        <v>39500.916</v>
      </c>
    </row>
    <row r="44" customFormat="false" ht="15" hidden="false" customHeight="false" outlineLevel="0" collapsed="false">
      <c r="A44" s="0" t="s">
        <v>348</v>
      </c>
      <c r="B44" s="13" t="n">
        <f aca="false">SUM(B10,B19,B28,B37)</f>
        <v>33857.928</v>
      </c>
      <c r="C44" s="13" t="n">
        <f aca="false">SUM(C10,C19,C28,C37)</f>
        <v>39500.916</v>
      </c>
      <c r="D44" s="13" t="n">
        <f aca="false">SUM(D10,D19,D28,D37)</f>
        <v>45143.904</v>
      </c>
      <c r="E44" s="13" t="n">
        <f aca="false">SUM(E10,E19,E28,E37)</f>
        <v>45143.904</v>
      </c>
      <c r="F44" s="13" t="n">
        <f aca="false">SUM(F10,F19,F28,F37)</f>
        <v>50786.892</v>
      </c>
      <c r="G44" s="13" t="n">
        <f aca="false">SUM(G10,G19,G28,G37)</f>
        <v>50786.892</v>
      </c>
      <c r="H44" s="13" t="n">
        <f aca="false">SUM(H10,H19,H28,H37)</f>
        <v>56429.88</v>
      </c>
      <c r="I44" s="13" t="n">
        <f aca="false">SUM(I10,I19,I28,I37)</f>
        <v>56429.88</v>
      </c>
      <c r="J44" s="13" t="n">
        <f aca="false">SUM(J10,J19,J28,J37)</f>
        <v>50786.892</v>
      </c>
      <c r="K44" s="13" t="n">
        <f aca="false">SUM(K10,K19,K28,K37)</f>
        <v>50786.892</v>
      </c>
      <c r="L44" s="13" t="n">
        <f aca="false">SUM(L10,L19,L28,L37)</f>
        <v>45143.904</v>
      </c>
      <c r="M44" s="13" t="n">
        <f aca="false">SUM(M10,M19,M28,M37)</f>
        <v>39500.916</v>
      </c>
    </row>
    <row r="45" customFormat="false" ht="15" hidden="false" customHeight="false" outlineLevel="0" collapsed="false">
      <c r="A45" s="0" t="s">
        <v>349</v>
      </c>
      <c r="B45" s="13" t="n">
        <f aca="false">SUM(B11,B20,B29,B38)</f>
        <v>82099.5</v>
      </c>
      <c r="C45" s="13" t="n">
        <f aca="false">SUM(C11,C20,C29,C38)</f>
        <v>82099.5</v>
      </c>
      <c r="D45" s="13" t="n">
        <f aca="false">SUM(D11,D20,D29,D38)</f>
        <v>93828</v>
      </c>
      <c r="E45" s="13" t="n">
        <f aca="false">SUM(E11,E20,E29,E38)</f>
        <v>93828</v>
      </c>
      <c r="F45" s="13" t="n">
        <f aca="false">SUM(F11,F20,F29,F38)</f>
        <v>105556.5</v>
      </c>
      <c r="G45" s="13" t="n">
        <f aca="false">SUM(G11,G20,G29,G38)</f>
        <v>105556.5</v>
      </c>
      <c r="H45" s="13" t="n">
        <f aca="false">SUM(H11,H20,H29,H38)</f>
        <v>105556.5</v>
      </c>
      <c r="I45" s="13" t="n">
        <f aca="false">SUM(I11,I20,I29,I38)</f>
        <v>117285</v>
      </c>
      <c r="J45" s="13" t="n">
        <f aca="false">SUM(J11,J20,J29,J38)</f>
        <v>117285</v>
      </c>
      <c r="K45" s="13" t="n">
        <f aca="false">SUM(K11,K20,K29,K38)</f>
        <v>105556.5</v>
      </c>
      <c r="L45" s="13" t="n">
        <f aca="false">SUM(L11,L20,L29,L38)</f>
        <v>93828</v>
      </c>
      <c r="M45" s="13" t="n">
        <f aca="false">SUM(M11,M20,M29,M38)</f>
        <v>70371</v>
      </c>
    </row>
    <row r="46" customFormat="false" ht="15" hidden="false" customHeight="false" outlineLevel="0" collapsed="false">
      <c r="A46" s="0" t="s">
        <v>121</v>
      </c>
      <c r="B46" s="13" t="n">
        <f aca="false">SUM(B6,B15,B24,B33)</f>
        <v>112859.76</v>
      </c>
      <c r="C46" s="13" t="n">
        <f aca="false">SUM(C6,C15,C24,C33)</f>
        <v>131669.72</v>
      </c>
      <c r="D46" s="13" t="n">
        <f aca="false">SUM(D6,D15,D24,D33)</f>
        <v>150479.68</v>
      </c>
      <c r="E46" s="13" t="n">
        <f aca="false">SUM(E6,E15,E24,E33)</f>
        <v>150479.68</v>
      </c>
      <c r="F46" s="13" t="n">
        <f aca="false">SUM(F6,F15,F24,F33)</f>
        <v>169289.64</v>
      </c>
      <c r="G46" s="13" t="n">
        <f aca="false">SUM(G6,G15,G24,G33)</f>
        <v>169289.64</v>
      </c>
      <c r="H46" s="13" t="n">
        <f aca="false">SUM(H6,H15,H24,H33)</f>
        <v>188099.6</v>
      </c>
      <c r="I46" s="13" t="n">
        <f aca="false">SUM(I6,I15,I24,I33)</f>
        <v>188099.6</v>
      </c>
      <c r="J46" s="13" t="n">
        <f aca="false">SUM(J6,J15,J24,J33)</f>
        <v>169289.64</v>
      </c>
      <c r="K46" s="13" t="n">
        <f aca="false">SUM(K6,K15,K24,K33)</f>
        <v>169289.64</v>
      </c>
      <c r="L46" s="13" t="n">
        <f aca="false">SUM(L6,L15,L24,L33)</f>
        <v>150479.68</v>
      </c>
      <c r="M46" s="13" t="n">
        <f aca="false">SUM(M6,M15,M24,M33)</f>
        <v>131669.72</v>
      </c>
    </row>
    <row r="47" customFormat="false" ht="15" hidden="false" customHeight="false" outlineLevel="0" collapsed="false">
      <c r="A47" s="9" t="s">
        <v>350</v>
      </c>
      <c r="B47" s="9"/>
      <c r="C47" s="9"/>
      <c r="D47" s="9"/>
      <c r="E47" s="9"/>
      <c r="F47" s="9"/>
      <c r="G47" s="9"/>
      <c r="H47" s="9"/>
      <c r="I47" s="9"/>
      <c r="J47" s="9"/>
      <c r="K47" s="9"/>
      <c r="L47" s="9"/>
      <c r="M47" s="9"/>
      <c r="N47" s="9"/>
    </row>
    <row r="48" customFormat="false" ht="15" hidden="false" customHeight="false" outlineLevel="0" collapsed="false">
      <c r="A48" s="0" t="s">
        <v>351</v>
      </c>
      <c r="B48" s="13" t="n">
        <f aca="false">('03 Revenue Budget'!B8+'03 Revenue Budget'!B9+'03 Revenue Budget'!B10+'03 Revenue Budget'!B11)*('02 Budget Assumptions'!$C$13/30)</f>
        <v>412.67928</v>
      </c>
      <c r="C48" s="13" t="n">
        <f aca="false">('03 Revenue Budget'!C8+'03 Revenue Budget'!C9+'03 Revenue Budget'!C10+'03 Revenue Budget'!C11)*('02 Budget Assumptions'!$C$13/30)</f>
        <v>469.26916</v>
      </c>
      <c r="D48" s="13" t="n">
        <f aca="false">('03 Revenue Budget'!D8+'03 Revenue Budget'!D9+'03 Revenue Budget'!D10+'03 Revenue Budget'!D11)*('02 Budget Assumptions'!$C$13/30)</f>
        <v>525.859573333333</v>
      </c>
      <c r="E48" s="13" t="n">
        <f aca="false">('03 Revenue Budget'!E8+'03 Revenue Budget'!E9+'03 Revenue Budget'!E10+'03 Revenue Budget'!E11)*('02 Budget Assumptions'!$C$13/30)</f>
        <v>526.020641777778</v>
      </c>
      <c r="F48" s="13" t="n">
        <f aca="false">('03 Revenue Budget'!F8+'03 Revenue Budget'!F9+'03 Revenue Budget'!F10+'03 Revenue Budget'!F11)*('02 Budget Assumptions'!$C$13/30)</f>
        <v>582.612127117037</v>
      </c>
      <c r="G48" s="13" t="n">
        <f aca="false">('03 Revenue Budget'!G8+'03 Revenue Budget'!G9+'03 Revenue Budget'!G10+'03 Revenue Budget'!G11)*('02 Budget Assumptions'!$C$13/30)</f>
        <v>582.77427114076</v>
      </c>
      <c r="H48" s="13" t="n">
        <f aca="false">('03 Revenue Budget'!H8+'03 Revenue Budget'!H9+'03 Revenue Budget'!H10+'03 Revenue Budget'!H11)*('02 Budget Assumptions'!$C$13/30)</f>
        <v>639.366835644563</v>
      </c>
      <c r="I48" s="13" t="n">
        <f aca="false">('03 Revenue Budget'!I8+'03 Revenue Budget'!I9+'03 Revenue Budget'!I10+'03 Revenue Budget'!I11)*('02 Budget Assumptions'!$C$13/30)</f>
        <v>639.530062430045</v>
      </c>
      <c r="J48" s="13" t="n">
        <f aca="false">('03 Revenue Budget'!J8+'03 Revenue Budget'!J9+'03 Revenue Budget'!J10+'03 Revenue Budget'!J11)*('02 Budget Assumptions'!$C$13/30)</f>
        <v>583.263953304812</v>
      </c>
      <c r="K48" s="13" t="n">
        <f aca="false">('03 Revenue Budget'!K8+'03 Revenue Budget'!K9+'03 Revenue Budget'!K10+'03 Revenue Budget'!K11)*('02 Budget Assumptions'!$C$13/30)</f>
        <v>583.428270082495</v>
      </c>
      <c r="L48" s="13" t="n">
        <f aca="false">('03 Revenue Budget'!L8+'03 Revenue Budget'!L9+'03 Revenue Budget'!L10+'03 Revenue Budget'!L11)*('02 Budget Assumptions'!$C$13/30)</f>
        <v>527.16325458277</v>
      </c>
      <c r="M48" s="13" t="n">
        <f aca="false">('03 Revenue Budget'!M8+'03 Revenue Budget'!M9+'03 Revenue Budget'!M10+'03 Revenue Budget'!M11)*('02 Budget Assumptions'!$C$13/30)</f>
        <v>470.898788631379</v>
      </c>
    </row>
    <row r="49" customFormat="false" ht="15" hidden="false" customHeight="false" outlineLevel="0" collapsed="false">
      <c r="A49" s="0" t="s">
        <v>352</v>
      </c>
      <c r="B49" s="13" t="n">
        <f aca="false">60000+B43-'03 Revenue Budget'!B7</f>
        <v>86857.928</v>
      </c>
      <c r="C49" s="13" t="n">
        <f aca="false">B49+C43-'03 Revenue Budget'!C7</f>
        <v>119335.510666667</v>
      </c>
      <c r="D49" s="13" t="n">
        <f aca="false">C49+D43-'03 Revenue Budget'!D7</f>
        <v>157432.670222222</v>
      </c>
      <c r="E49" s="13" t="n">
        <f aca="false">D49+E43-'03 Revenue Budget'!E7</f>
        <v>195506.34062963</v>
      </c>
      <c r="F49" s="13" t="n">
        <f aca="false">E49+F43-'03 Revenue Budget'!F7</f>
        <v>239199.431591728</v>
      </c>
      <c r="G49" s="13" t="n">
        <f aca="false">F49+G43-'03 Revenue Budget'!G7</f>
        <v>282868.876550368</v>
      </c>
      <c r="H49" s="13" t="n">
        <f aca="false">G49+H43-'03 Revenue Budget'!H7</f>
        <v>332157.584685535</v>
      </c>
      <c r="I49" s="13" t="n">
        <f aca="false">H49+I43-'03 Revenue Budget'!I7</f>
        <v>381422.488914487</v>
      </c>
      <c r="J49" s="13" t="n">
        <f aca="false">I49+J43-'03 Revenue Budget'!J7</f>
        <v>425020.521890869</v>
      </c>
      <c r="K49" s="13" t="n">
        <f aca="false">J49+K43-'03 Revenue Budget'!K7</f>
        <v>468594.592003838</v>
      </c>
      <c r="L49" s="13" t="n">
        <f aca="false">K49+L43-'03 Revenue Budget'!L7</f>
        <v>506501.631377184</v>
      </c>
      <c r="M49" s="13" t="n">
        <f aca="false">L49+M43-'03 Revenue Budget'!M7</f>
        <v>538741.559868442</v>
      </c>
    </row>
    <row r="50" customFormat="false" ht="15" hidden="false" customHeight="false" outlineLevel="0" collapsed="false">
      <c r="A50" s="0" t="s">
        <v>353</v>
      </c>
      <c r="B50" s="13" t="n">
        <f aca="false">B45*('02 Budget Assumptions'!$C$14/30)</f>
        <v>82099.5</v>
      </c>
      <c r="C50" s="13" t="n">
        <f aca="false">C45*('02 Budget Assumptions'!$C$14/30)</f>
        <v>82099.5</v>
      </c>
      <c r="D50" s="13" t="n">
        <f aca="false">D45*('02 Budget Assumptions'!$C$14/30)</f>
        <v>93828</v>
      </c>
      <c r="E50" s="13" t="n">
        <f aca="false">E45*('02 Budget Assumptions'!$C$14/30)</f>
        <v>93828</v>
      </c>
      <c r="F50" s="13" t="n">
        <f aca="false">F45*('02 Budget Assumptions'!$C$14/30)</f>
        <v>105556.5</v>
      </c>
      <c r="G50" s="13" t="n">
        <f aca="false">G45*('02 Budget Assumptions'!$C$14/30)</f>
        <v>105556.5</v>
      </c>
      <c r="H50" s="13" t="n">
        <f aca="false">H45*('02 Budget Assumptions'!$C$14/30)</f>
        <v>105556.5</v>
      </c>
      <c r="I50" s="13" t="n">
        <f aca="false">I45*('02 Budget Assumptions'!$C$14/30)</f>
        <v>117285</v>
      </c>
      <c r="J50" s="13" t="n">
        <f aca="false">J45*('02 Budget Assumptions'!$C$14/30)</f>
        <v>117285</v>
      </c>
      <c r="K50" s="13" t="n">
        <f aca="false">K45*('02 Budget Assumptions'!$C$14/30)</f>
        <v>105556.5</v>
      </c>
      <c r="L50" s="13" t="n">
        <f aca="false">L45*('02 Budget Assumptions'!$C$14/30)</f>
        <v>93828</v>
      </c>
      <c r="M50" s="13" t="n">
        <f aca="false">M45*('02 Budget Assumptions'!$C$14/30)</f>
        <v>70371</v>
      </c>
    </row>
    <row r="51" customFormat="false" ht="15" hidden="false" customHeight="false" outlineLevel="0" collapsed="false">
      <c r="A51" s="0" t="s">
        <v>354</v>
      </c>
      <c r="B51" s="13" t="n">
        <f aca="false">('07 Corporate Opex'!B15+'06 Sales and Marketing Budget'!B10)*0.5</f>
        <v>4685.72</v>
      </c>
      <c r="C51" s="13" t="n">
        <f aca="false">('07 Corporate Opex'!C15+'06 Sales and Marketing Budget'!C10)*0.5</f>
        <v>4686.02</v>
      </c>
      <c r="D51" s="13" t="n">
        <f aca="false">('07 Corporate Opex'!D15+'06 Sales and Marketing Budget'!D10)*0.5</f>
        <v>4733.821</v>
      </c>
      <c r="E51" s="13" t="n">
        <f aca="false">('07 Corporate Opex'!E15+'06 Sales and Marketing Budget'!E10)*0.5</f>
        <v>4734.12300333333</v>
      </c>
      <c r="F51" s="13" t="n">
        <f aca="false">('07 Corporate Opex'!F15+'06 Sales and Marketing Budget'!F10)*0.5</f>
        <v>4781.92601334444</v>
      </c>
      <c r="G51" s="13" t="n">
        <f aca="false">('07 Corporate Opex'!G15+'06 Sales and Marketing Budget'!G10)*0.5</f>
        <v>4782.23003338893</v>
      </c>
      <c r="H51" s="13" t="n">
        <f aca="false">('07 Corporate Opex'!H15+'06 Sales and Marketing Budget'!H10)*0.5</f>
        <v>4830.03506683356</v>
      </c>
      <c r="I51" s="13" t="n">
        <f aca="false">('07 Corporate Opex'!I15+'06 Sales and Marketing Budget'!I10)*0.5</f>
        <v>4830.34111705633</v>
      </c>
      <c r="J51" s="13" t="n">
        <f aca="false">('07 Corporate Opex'!J15+'06 Sales and Marketing Budget'!J10)*0.5</f>
        <v>4783.14818744652</v>
      </c>
      <c r="K51" s="13" t="n">
        <f aca="false">('07 Corporate Opex'!K15+'06 Sales and Marketing Budget'!K10)*0.5</f>
        <v>4735.95628140468</v>
      </c>
      <c r="L51" s="13" t="n">
        <f aca="false">('07 Corporate Opex'!L15+'06 Sales and Marketing Budget'!L10)*0.5</f>
        <v>4736.26540234269</v>
      </c>
      <c r="M51" s="13" t="n">
        <f aca="false">('07 Corporate Opex'!M15+'06 Sales and Marketing Budget'!M10)*0.5</f>
        <v>6761.71555368384</v>
      </c>
    </row>
  </sheetData>
  <mergeCells count="7">
    <mergeCell ref="A1:P1"/>
    <mergeCell ref="A4:N4"/>
    <mergeCell ref="A13:N13"/>
    <mergeCell ref="A22:N22"/>
    <mergeCell ref="A31:N31"/>
    <mergeCell ref="A40:N40"/>
    <mergeCell ref="A47:N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2026-03-08T04:20:31Z</dcterms:created>
  <dc:creator>openpyxl</dc:creator>
  <dc:description/>
  <dc:language>en-US</dc:language>
  <cp:lastModifiedBy/>
  <dcterms:modified xsi:type="dcterms:W3CDTF">2026-03-08T04:32:00Z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