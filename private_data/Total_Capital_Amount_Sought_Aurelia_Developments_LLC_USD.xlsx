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bc1e2aa8a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 Capital Sought" sheetId="1" r:id="Rcfd1226924cd43b8"/>
    <x:sheet xmlns:r="http://schemas.openxmlformats.org/officeDocument/2006/relationships" name="Project Capital Requirements" sheetId="2" r:id="R1efb377a0cb446fb"/>
    <x:sheet xmlns:r="http://schemas.openxmlformats.org/officeDocument/2006/relationships" name="Capital Allocation" sheetId="3" r:id="Rafdc19eab2844ffb"/>
    <x:sheet xmlns:r="http://schemas.openxmlformats.org/officeDocument/2006/relationships" name="Funding Sources" sheetId="4" r:id="R49f24e66e5e04e22"/>
    <x:sheet xmlns:r="http://schemas.openxmlformats.org/officeDocument/2006/relationships" name="Investment Timeline" sheetId="5" r:id="Rde7255617af7488c"/>
    <x:sheet xmlns:r="http://schemas.openxmlformats.org/officeDocument/2006/relationships" name="Investor Participation" sheetId="6" r:id="R8bc6a8b0cd0b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$#,##0_);[Red]($#,##0)"/>
    <x:numFmt numFmtId="165" formatCode="0.0%"/>
  </x:numFmts>
  <x:fonts count="6">
    <x:font>
      <x:sz val="11"/>
      <x:color theme="1"/>
      <x:name val="Calibri"/>
      <x:family val="2"/>
      <x:scheme val="minor"/>
    </x:font>
    <x:font>
      <x:b/>
      <x:sz val="14"/>
      <x:color rgb="001F4E78"/>
    </x:font>
    <x:font>
      <x:b/>
      <x:color rgb="00FFFFFF"/>
    </x:font>
    <x:font>
      <x:b/>
    </x:font>
    <x:font>
      <x:b/>
      <x:sz val="13"/>
      <x:color rgb="001F4E78"/>
    </x:font>
    <x:font>
      <x:i/>
      <x:color rgb="005B6573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B7C9E2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2" fillId="2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3" fillId="0" borderId="1" xfId="0" applyAlignment="1">
      <x:alignment vertical="center" wrapText="1"/>
    </x:xf>
    <x:xf numFmtId="164" fontId="3" fillId="0" borderId="1" xfId="0" applyAlignment="1">
      <x:alignment vertical="center" wrapText="1"/>
    </x:xf>
    <x:xf numFmtId="0" fontId="3" fillId="0" borderId="0" xfId="0" applyAlignment="1">
      <x:alignment vertical="center" wrapText="1"/>
    </x:xf>
    <x:xf numFmtId="164" fontId="3" fillId="0" borderId="0" xfId="0" applyAlignment="1">
      <x:alignment vertical="center" wrapText="1"/>
    </x:xf>
    <x:xf numFmtId="165" fontId="0" fillId="0" borderId="0" xfId="0" applyAlignment="1">
      <x:alignment vertical="center" wrapText="1"/>
    </x:xf>
    <x:xf numFmtId="165" fontId="3" fillId="0" borderId="0" xfId="0" applyAlignment="1">
      <x:alignment vertical="center" wrapText="1"/>
    </x:xf>
    <x:xf numFmtId="0" fontId="1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209a026ea4a56" /><Relationship Type="http://schemas.openxmlformats.org/officeDocument/2006/relationships/theme" Target="/xl/theme/theme1.xml" Id="Rd656559a554140c1" /><Relationship Type="http://schemas.openxmlformats.org/officeDocument/2006/relationships/sharedStrings" Target="/xl/sharedStrings.xml" Id="Rf47b7a02c7f54383" /><Relationship Type="http://schemas.openxmlformats.org/officeDocument/2006/relationships/worksheet" Target="/xl/worksheets/sheet1.xml" Id="Rcfd1226924cd43b8" /><Relationship Type="http://schemas.openxmlformats.org/officeDocument/2006/relationships/worksheet" Target="/xl/worksheets/sheet2.xml" Id="R1efb377a0cb446fb" /><Relationship Type="http://schemas.openxmlformats.org/officeDocument/2006/relationships/worksheet" Target="/xl/worksheets/sheet3.xml" Id="Rafdc19eab2844ffb" /><Relationship Type="http://schemas.openxmlformats.org/officeDocument/2006/relationships/worksheet" Target="/xl/worksheets/sheet4.xml" Id="R49f24e66e5e04e22" /><Relationship Type="http://schemas.openxmlformats.org/officeDocument/2006/relationships/worksheet" Target="/xl/worksheets/sheet5.xml" Id="Rde7255617af7488c" /><Relationship Type="http://schemas.openxmlformats.org/officeDocument/2006/relationships/worksheet" Target="/xl/worksheets/sheet6.xml" Id="R8bc6a8b0cd0b4e2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4" customWidth="1"/>
    <x:col min="3" max="3" width="3" customWidth="1"/>
    <x:col min="4" max="4" width="28" customWidth="1"/>
    <x:col min="5" max="5" width="18" customWidth="1"/>
  </x:cols>
  <x:sheetData>
    <x:row r="1" ht="22" customHeight="1">
      <x:c r="A1" s="12" t="inlineStr">
        <x:is>
          <x:t xml:space="preserve">Aurelia Developments LLC</x:t>
        </x:is>
      </x:c>
    </x:row>
    <x:row r="2" ht="18" customHeight="1">
      <x:c r="A2" s="3" t="inlineStr">
        <x:is>
          <x:t xml:space="preserve">Total Capital Amount Sought (USD presentation)</x:t>
        </x:is>
      </x:c>
    </x:row>
    <x:row r="3" ht="22" customHeight="1">
      <x:c r="A3" s="4" t="inlineStr">
        <x:is>
          <x:t xml:space="preserve">Funding Category</x:t>
        </x:is>
      </x:c>
      <x:c r="B3" s="4" t="inlineStr">
        <x:is>
          <x:t xml:space="preserve">Amount Required (USD)</x:t>
        </x:is>
      </x:c>
      <x:c r="C3" s="2" t="n"/>
      <x:c r="D3" s="4" t="inlineStr">
        <x:is>
          <x:t xml:space="preserve">Summary Metric</x:t>
        </x:is>
      </x:c>
      <x:c r="E3" s="4" t="inlineStr">
        <x:is>
          <x:t xml:space="preserve">Value</x:t>
        </x:is>
      </x:c>
    </x:row>
    <x:row r="4">
      <x:c r="A4" s="2" t="inlineStr">
        <x:is>
          <x:t xml:space="preserve">Land Acquisition &amp; Plot Control</x:t>
        </x:is>
      </x:c>
      <x:c r="B4" s="5" t="n">
        <x:v>185000000</x:v>
      </x:c>
      <x:c r="C4" s="2" t="n"/>
      <x:c r="D4" s="2" t="inlineStr">
        <x:is>
          <x:t xml:space="preserve">Total capital sought</x:t>
        </x:is>
      </x:c>
      <x:c r="E4" s="5" t="n">
        <x:v>1105000000</x:v>
      </x:c>
    </x:row>
    <x:row r="5">
      <x:c r="A5" s="2" t="inlineStr">
        <x:is>
          <x:t xml:space="preserve">Project Construction Equity</x:t>
        </x:is>
      </x:c>
      <x:c r="B5" s="5" t="n">
        <x:v>425000000</x:v>
      </x:c>
      <x:c r="C5" s="2" t="n"/>
      <x:c r="D5" s="2" t="inlineStr">
        <x:is>
          <x:t xml:space="preserve">Minimum anchor ticket</x:t>
        </x:is>
      </x:c>
      <x:c r="E5" s="5" t="n">
        <x:v>50000000</x:v>
      </x:c>
    </x:row>
    <x:row r="6">
      <x:c r="A6" s="2" t="inlineStr">
        <x:is>
          <x:t xml:space="preserve">Branded Residence &amp; Hospitality CapEx</x:t>
        </x:is>
      </x:c>
      <x:c r="B6" s="5" t="n">
        <x:v>140000000</x:v>
      </x:c>
      <x:c r="C6" s="2" t="n"/>
      <x:c r="D6" s="2" t="inlineStr">
        <x:is>
          <x:t xml:space="preserve">Minimum co-invest ticket</x:t>
        </x:is>
      </x:c>
      <x:c r="E6" s="5" t="n">
        <x:v>15000000</x:v>
      </x:c>
    </x:row>
    <x:row r="7">
      <x:c r="A7" s="2" t="inlineStr">
        <x:is>
          <x:t xml:space="preserve">Infrastructure / Utilities / Public Realm</x:t>
        </x:is>
      </x:c>
      <x:c r="B7" s="5" t="n">
        <x:v>105000000</x:v>
      </x:c>
      <x:c r="C7" s="2" t="n"/>
      <x:c r="D7" s="2" t="inlineStr">
        <x:is>
          <x:t xml:space="preserve">Near-term 2026 deployment</x:t>
        </x:is>
      </x:c>
      <x:c r="E7" s="5" t="n">
        <x:v>470000000</x:v>
      </x:c>
    </x:row>
    <x:row r="8">
      <x:c r="A8" s="2" t="inlineStr">
        <x:is>
          <x:t xml:space="preserve">Working Capital &amp; Liquidity Reserve</x:t>
        </x:is>
      </x:c>
      <x:c r="B8" s="5" t="n">
        <x:v>110000000</x:v>
      </x:c>
      <x:c r="C8" s="2" t="n"/>
      <x:c r="D8" s="2" t="n"/>
      <x:c r="E8" s="2" t="n"/>
    </x:row>
    <x:row r="9">
      <x:c r="A9" s="2" t="inlineStr">
        <x:is>
          <x:t xml:space="preserve">Contingency &amp; Cost Overrun Reserve</x:t>
        </x:is>
      </x:c>
      <x:c r="B9" s="5" t="n">
        <x:v>70000000</x:v>
      </x:c>
      <x:c r="C9" s="2" t="n"/>
      <x:c r="D9" s="2" t="n"/>
      <x:c r="E9" s="2" t="n"/>
    </x:row>
    <x:row r="10">
      <x:c r="A10" s="2" t="inlineStr">
        <x:is>
          <x:t xml:space="preserve">GCC Strategic Expansion / Seed Capital</x:t>
        </x:is>
      </x:c>
      <x:c r="B10" s="5" t="n">
        <x:v>55000000</x:v>
      </x:c>
      <x:c r="C10" s="2" t="n"/>
      <x:c r="D10" s="2" t="n"/>
      <x:c r="E10" s="2" t="n"/>
    </x:row>
    <x:row r="11">
      <x:c r="A11" s="2" t="inlineStr">
        <x:is>
          <x:t xml:space="preserve">Fundraising / Transaction Costs</x:t>
        </x:is>
      </x:c>
      <x:c r="B11" s="5" t="n">
        <x:v>15000000</x:v>
      </x:c>
      <x:c r="C11" s="2" t="n"/>
      <x:c r="D11" s="2" t="n"/>
      <x:c r="E11" s="2" t="n"/>
    </x:row>
    <x:row r="12">
      <x:c r="A12" s="6" t="inlineStr">
        <x:is>
          <x:t xml:space="preserve">Total Capital Sought</x:t>
        </x:is>
      </x:c>
      <x:c r="B12" s="7">
        <x:f>SUM(B4:B11)</x:f>
        <x:v>1105000000</x:v>
      </x:c>
      <x:c r="C12" s="2" t="n"/>
      <x:c r="D12" s="2" t="n"/>
      <x:c r="E12" s="2" t="n"/>
    </x:row>
  </x:sheetData>
  <x:mergeCells>
    <x:mergeCell ref="A2:E2"/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0" customWidth="1"/>
    <x:col min="3" max="3" width="26" customWidth="1"/>
    <x:col min="4" max="4" width="30" customWidth="1"/>
    <x:col min="5" max="5" width="26" customWidth="1"/>
  </x:cols>
  <x:sheetData>
    <x:row r="1" ht="22" customHeight="1">
      <x:c r="A1" s="12" t="inlineStr">
        <x:is>
          <x:t xml:space="preserve">Aurelia Developments LLC</x:t>
        </x:is>
      </x:c>
    </x:row>
    <x:row r="2" ht="18" customHeight="1">
      <x:c r="A2" s="3" t="inlineStr">
        <x:is>
          <x:t xml:space="preserve">Total Capital Amount Sought (USD presentation)</x:t>
        </x:is>
      </x:c>
    </x:row>
    <x:row r="3" ht="22" customHeight="1">
      <x:c r="A3" s="4" t="inlineStr">
        <x:is>
          <x:t xml:space="preserve">Project Name</x:t>
        </x:is>
      </x:c>
      <x:c r="B3" s="4" t="inlineStr">
        <x:is>
          <x:t xml:space="preserve">Location</x:t>
        </x:is>
      </x:c>
      <x:c r="C3" s="4" t="inlineStr">
        <x:is>
          <x:t xml:space="preserve">Total Development Cost (USD)</x:t>
        </x:is>
      </x:c>
      <x:c r="D3" s="4" t="inlineStr">
        <x:is>
          <x:t xml:space="preserve">Capital Required from Investors (USD)</x:t>
        </x:is>
      </x:c>
      <x:c r="E3" s="4" t="inlineStr">
        <x:is>
          <x:t xml:space="preserve">Current Phase</x:t>
        </x:is>
      </x:c>
    </x:row>
    <x:row r="4" ht="28" customHeight="1">
      <x:c r="A4" s="2" t="inlineStr">
        <x:is>
          <x:t xml:space="preserve">Aurelia Marina Residences</x:t>
        </x:is>
      </x:c>
      <x:c r="B4" s="2" t="inlineStr">
        <x:is>
          <x:t xml:space="preserve">Dubai Marina</x:t>
        </x:is>
      </x:c>
      <x:c r="C4" s="5" t="n">
        <x:v>420000000</x:v>
      </x:c>
      <x:c r="D4" s="5" t="n">
        <x:v>150000000</x:v>
      </x:c>
      <x:c r="E4" s="2" t="inlineStr">
        <x:is>
          <x:t xml:space="preserve">Land close / enabling works</x:t>
        </x:is>
      </x:c>
    </x:row>
    <x:row r="5" ht="28" customHeight="1">
      <x:c r="A5" s="2" t="inlineStr">
        <x:is>
          <x:t xml:space="preserve">Palm Crescent Villas</x:t>
        </x:is>
      </x:c>
      <x:c r="B5" s="2" t="inlineStr">
        <x:is>
          <x:t xml:space="preserve">Palm Jumeirah</x:t>
        </x:is>
      </x:c>
      <x:c r="C5" s="5" t="n">
        <x:v>365000000</x:v>
      </x:c>
      <x:c r="D5" s="5" t="n">
        <x:v>120000000</x:v>
      </x:c>
      <x:c r="E5" s="2" t="inlineStr">
        <x:is>
          <x:t xml:space="preserve">Superstructure / fit-out</x:t>
        </x:is>
      </x:c>
    </x:row>
    <x:row r="6" ht="28" customHeight="1">
      <x:c r="A6" s="2" t="inlineStr">
        <x:is>
          <x:t xml:space="preserve">Downtown Branded Residences</x:t>
        </x:is>
      </x:c>
      <x:c r="B6" s="2" t="inlineStr">
        <x:is>
          <x:t xml:space="preserve">Downtown Dubai</x:t>
        </x:is>
      </x:c>
      <x:c r="C6" s="5" t="n">
        <x:v>510000000</x:v>
      </x:c>
      <x:c r="D6" s="5" t="n">
        <x:v>175000000</x:v>
      </x:c>
      <x:c r="E6" s="2" t="inlineStr">
        <x:is>
          <x:t xml:space="preserve">Design finalization / pre-sales</x:t>
        </x:is>
      </x:c>
    </x:row>
    <x:row r="7" ht="28" customHeight="1">
      <x:c r="A7" s="2" t="inlineStr">
        <x:is>
          <x:t xml:space="preserve">Jumeirah Mixed-Use Quarter</x:t>
        </x:is>
      </x:c>
      <x:c r="B7" s="2" t="inlineStr">
        <x:is>
          <x:t xml:space="preserve">Jumeirah</x:t>
        </x:is>
      </x:c>
      <x:c r="C7" s="5" t="n">
        <x:v>610000000</x:v>
      </x:c>
      <x:c r="D7" s="5" t="n">
        <x:v>210000000</x:v>
      </x:c>
      <x:c r="E7" s="2" t="inlineStr">
        <x:is>
          <x:t xml:space="preserve">Land assembly / permitting</x:t>
        </x:is>
      </x:c>
    </x:row>
    <x:row r="8" ht="28" customHeight="1">
      <x:c r="A8" s="2" t="inlineStr">
        <x:is>
          <x:t xml:space="preserve">Creekside Hospitality Residences</x:t>
        </x:is>
      </x:c>
      <x:c r="B8" s="2" t="inlineStr">
        <x:is>
          <x:t xml:space="preserve">Dubai Creek Harbour</x:t>
        </x:is>
      </x:c>
      <x:c r="C8" s="5" t="n">
        <x:v>295000000</x:v>
      </x:c>
      <x:c r="D8" s="5" t="n">
        <x:v>95000000</x:v>
      </x:c>
      <x:c r="E8" s="2" t="inlineStr">
        <x:is>
          <x:t xml:space="preserve">Foundation / sales launch</x:t>
        </x:is>
      </x:c>
    </x:row>
    <x:row r="9" ht="28" customHeight="1">
      <x:c r="A9" s="2" t="inlineStr">
        <x:is>
          <x:t xml:space="preserve">GCC Strategic Expansion Platform</x:t>
        </x:is>
      </x:c>
      <x:c r="B9" s="2" t="inlineStr">
        <x:is>
          <x:t xml:space="preserve">Dubai / Riyadh / Doha origination</x:t>
        </x:is>
      </x:c>
      <x:c r="C9" s="5" t="n">
        <x:v>160000000</x:v>
      </x:c>
      <x:c r="D9" s="5" t="n">
        <x:v>55000000</x:v>
      </x:c>
      <x:c r="E9" s="2" t="inlineStr">
        <x:is>
          <x:t xml:space="preserve">Pipeline seeding / platform build</x:t>
        </x:is>
      </x:c>
    </x:row>
    <x:row r="10">
      <x:c r="A10" s="8" t="inlineStr">
        <x:is>
          <x:t xml:space="preserve">Total</x:t>
        </x:is>
      </x:c>
      <x:c r="B10" s="2" t="n"/>
      <x:c r="C10" s="2" t="n"/>
      <x:c r="D10" s="9">
        <x:f>SUM(D4:D9)</x:f>
        <x:v>805000000</x:v>
      </x:c>
      <x:c r="E10" s="2" t="n"/>
    </x:row>
  </x:sheetData>
  <x:mergeCells>
    <x:mergeCell ref="A2:E2"/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2" customWidth="1"/>
    <x:col min="3" max="3" width="18" customWidth="1"/>
  </x:cols>
  <x:sheetData>
    <x:row r="1" ht="22" customHeight="1">
      <x:c r="A1" s="12" t="inlineStr">
        <x:is>
          <x:t xml:space="preserve">Aurelia Developments LLC</x:t>
        </x:is>
      </x:c>
    </x:row>
    <x:row r="2" ht="18" customHeight="1">
      <x:c r="A2" s="3" t="inlineStr">
        <x:is>
          <x:t xml:space="preserve">Total Capital Amount Sought (USD presentation)</x:t>
        </x:is>
      </x:c>
    </x:row>
    <x:row r="3" ht="22" customHeight="1">
      <x:c r="A3" s="4" t="inlineStr">
        <x:is>
          <x:t xml:space="preserve">Category</x:t>
        </x:is>
      </x:c>
      <x:c r="B3" s="4" t="inlineStr">
        <x:is>
          <x:t xml:space="preserve">Allocation Amount (USD)</x:t>
        </x:is>
      </x:c>
      <x:c r="C3" s="4" t="inlineStr">
        <x:is>
          <x:t xml:space="preserve">Percentage of Total Capital</x:t>
        </x:is>
      </x:c>
    </x:row>
    <x:row r="4">
      <x:c r="A4" s="2" t="inlineStr">
        <x:is>
          <x:t xml:space="preserve">Land Acquisition &amp; Plot Control</x:t>
        </x:is>
      </x:c>
      <x:c r="B4" s="5" t="n">
        <x:v>185000000</x:v>
      </x:c>
      <x:c r="C4" s="10">
        <x:f>B4/'Total Capital Sought'!$B$12</x:f>
        <x:v>0.167420814479638</x:v>
      </x:c>
    </x:row>
    <x:row r="5">
      <x:c r="A5" s="2" t="inlineStr">
        <x:is>
          <x:t xml:space="preserve">Project Construction Equity</x:t>
        </x:is>
      </x:c>
      <x:c r="B5" s="5" t="n">
        <x:v>425000000</x:v>
      </x:c>
      <x:c r="C5" s="10">
        <x:f>B5/'Total Capital Sought'!$B$12</x:f>
        <x:v>0.38461538461538464</x:v>
      </x:c>
    </x:row>
    <x:row r="6">
      <x:c r="A6" s="2" t="inlineStr">
        <x:is>
          <x:t xml:space="preserve">Branded Residence &amp; Hospitality CapEx</x:t>
        </x:is>
      </x:c>
      <x:c r="B6" s="5" t="n">
        <x:v>140000000</x:v>
      </x:c>
      <x:c r="C6" s="10">
        <x:f>B6/'Total Capital Sought'!$B$12</x:f>
        <x:v>0.12669683257918551</x:v>
      </x:c>
    </x:row>
    <x:row r="7">
      <x:c r="A7" s="2" t="inlineStr">
        <x:is>
          <x:t xml:space="preserve">Infrastructure / Utilities / Public Realm</x:t>
        </x:is>
      </x:c>
      <x:c r="B7" s="5" t="n">
        <x:v>105000000</x:v>
      </x:c>
      <x:c r="C7" s="10">
        <x:f>B7/'Total Capital Sought'!$B$12</x:f>
        <x:v>0.09502262443438914</x:v>
      </x:c>
    </x:row>
    <x:row r="8">
      <x:c r="A8" s="2" t="inlineStr">
        <x:is>
          <x:t xml:space="preserve">Working Capital &amp; Liquidity Reserve</x:t>
        </x:is>
      </x:c>
      <x:c r="B8" s="5" t="n">
        <x:v>110000000</x:v>
      </x:c>
      <x:c r="C8" s="10">
        <x:f>B8/'Total Capital Sought'!$B$12</x:f>
        <x:v>0.09954751131221719</x:v>
      </x:c>
    </x:row>
    <x:row r="9">
      <x:c r="A9" s="2" t="inlineStr">
        <x:is>
          <x:t xml:space="preserve">Contingency &amp; Cost Overrun Reserve</x:t>
        </x:is>
      </x:c>
      <x:c r="B9" s="5" t="n">
        <x:v>70000000</x:v>
      </x:c>
      <x:c r="C9" s="10">
        <x:f>B9/'Total Capital Sought'!$B$12</x:f>
        <x:v>0.06334841628959276</x:v>
      </x:c>
    </x:row>
    <x:row r="10">
      <x:c r="A10" s="2" t="inlineStr">
        <x:is>
          <x:t xml:space="preserve">GCC Strategic Expansion / Seed Capital</x:t>
        </x:is>
      </x:c>
      <x:c r="B10" s="5" t="n">
        <x:v>55000000</x:v>
      </x:c>
      <x:c r="C10" s="10">
        <x:f>B10/'Total Capital Sought'!$B$12</x:f>
        <x:v>0.049773755656108594</x:v>
      </x:c>
    </x:row>
    <x:row r="11">
      <x:c r="A11" s="2" t="inlineStr">
        <x:is>
          <x:t xml:space="preserve">Fundraising / Transaction Costs</x:t>
        </x:is>
      </x:c>
      <x:c r="B11" s="5" t="n">
        <x:v>15000000</x:v>
      </x:c>
      <x:c r="C11" s="10">
        <x:f>B11/'Total Capital Sought'!$B$12</x:f>
        <x:v>0.013574660633484163</x:v>
      </x:c>
    </x:row>
    <x:row r="12">
      <x:c r="A12" s="8" t="inlineStr">
        <x:is>
          <x:t xml:space="preserve">Total</x:t>
        </x:is>
      </x:c>
      <x:c r="B12" s="9">
        <x:f>SUM(B4:B11)</x:f>
        <x:v>1105000000</x:v>
      </x:c>
      <x:c r="C12" s="11">
        <x:f>SUM(C4:C11)</x:f>
        <x:v>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0" customWidth="1"/>
    <x:col min="3" max="3" width="18" customWidth="1"/>
  </x:cols>
  <x:sheetData>
    <x:row r="1" ht="22" customHeight="1">
      <x:c r="A1" s="12" t="inlineStr">
        <x:is>
          <x:t xml:space="preserve">Aurelia Developments LLC</x:t>
        </x:is>
      </x:c>
    </x:row>
    <x:row r="2" ht="18" customHeight="1">
      <x:c r="A2" s="3" t="inlineStr">
        <x:is>
          <x:t xml:space="preserve">Total Capital Amount Sought (USD presentation)</x:t>
        </x:is>
      </x:c>
    </x:row>
    <x:row r="3" ht="22" customHeight="1">
      <x:c r="A3" s="4" t="inlineStr">
        <x:is>
          <x:t xml:space="preserve">Source of Capital</x:t>
        </x:is>
      </x:c>
      <x:c r="B3" s="4" t="inlineStr">
        <x:is>
          <x:t xml:space="preserve">Amount (USD)</x:t>
        </x:is>
      </x:c>
      <x:c r="C3" s="4" t="inlineStr">
        <x:is>
          <x:t xml:space="preserve">Percentage of Total</x:t>
        </x:is>
      </x:c>
    </x:row>
    <x:row r="4">
      <x:c r="A4" s="2" t="inlineStr">
        <x:is>
          <x:t xml:space="preserve">Private Equity Lead Investor(s)</x:t>
        </x:is>
      </x:c>
      <x:c r="B4" s="5" t="n">
        <x:v>700000000</x:v>
      </x:c>
      <x:c r="C4" s="10">
        <x:f>B4/'Total Capital Sought'!$B$12</x:f>
        <x:v>0.6334841628959276</x:v>
      </x:c>
    </x:row>
    <x:row r="5">
      <x:c r="A5" s="2" t="inlineStr">
        <x:is>
          <x:t xml:space="preserve">Strategic / Family Office Investors</x:t>
        </x:is>
      </x:c>
      <x:c r="B5" s="5" t="n">
        <x:v>250000000</x:v>
      </x:c>
      <x:c r="C5" s="10">
        <x:f>B5/'Total Capital Sought'!$B$12</x:f>
        <x:v>0.22624434389140272</x:v>
      </x:c>
    </x:row>
    <x:row r="6">
      <x:c r="A6" s="2" t="inlineStr">
        <x:is>
          <x:t xml:space="preserve">Project-Level Co-Investors</x:t>
        </x:is>
      </x:c>
      <x:c r="B6" s="5" t="n">
        <x:v>155000000</x:v>
      </x:c>
      <x:c r="C6" s="10">
        <x:f>B6/'Total Capital Sought'!$B$12</x:f>
        <x:v>0.14027149321266968</x:v>
      </x:c>
    </x:row>
    <x:row r="7">
      <x:c r="A7" s="2" t="inlineStr">
        <x:is>
          <x:t xml:space="preserve">Bank Financing (parallel debt, not part of equity raise)</x:t>
        </x:is>
      </x:c>
      <x:c r="B7" s="5" t="n">
        <x:v>1950000000</x:v>
      </x:c>
      <x:c r="C7" s="2" t="inlineStr">
        <x:is>
          <x:t xml:space="preserve">Debt alongside raise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2" customWidth="1"/>
    <x:col min="3" max="3" width="42" customWidth="1"/>
    <x:col min="4" max="4" width="3" customWidth="1"/>
    <x:col min="5" max="5" width="34" customWidth="1"/>
    <x:col min="6" max="6" width="12" customWidth="1"/>
    <x:col min="7" max="7" width="12" customWidth="1"/>
    <x:col min="8" max="8" width="12" customWidth="1"/>
    <x:col min="9" max="9" width="16" customWidth="1"/>
    <x:col min="10" max="10" width="28" customWidth="1"/>
  </x:cols>
  <x:sheetData>
    <x:row r="1" ht="22" customHeight="1">
      <x:c r="A1" s="12" t="inlineStr">
        <x:is>
          <x:t xml:space="preserve">Aurelia Developments LLC</x:t>
        </x:is>
      </x:c>
    </x:row>
    <x:row r="2" ht="18" customHeight="1">
      <x:c r="A2" s="3" t="inlineStr">
        <x:is>
          <x:t xml:space="preserve">Total Capital Amount Sought (USD presentation)</x:t>
        </x:is>
      </x:c>
    </x:row>
    <x:row r="3" ht="22" customHeight="1">
      <x:c r="A3" s="4" t="inlineStr">
        <x:is>
          <x:t xml:space="preserve">Year / Period</x:t>
        </x:is>
      </x:c>
      <x:c r="B3" s="4" t="inlineStr">
        <x:is>
          <x:t xml:space="preserve">Capital Required (USD)</x:t>
        </x:is>
      </x:c>
      <x:c r="C3" s="4" t="inlineStr">
        <x:is>
          <x:t xml:space="preserve">Project Phase</x:t>
        </x:is>
      </x:c>
      <x:c r="D3" s="2" t="n"/>
      <x:c r="E3" s="4" t="inlineStr">
        <x:is>
          <x:t xml:space="preserve">Project</x:t>
        </x:is>
      </x:c>
      <x:c r="F3" s="4" t="inlineStr">
        <x:is>
          <x:t xml:space="preserve">2026</x:t>
        </x:is>
      </x:c>
      <x:c r="G3" s="4" t="inlineStr">
        <x:is>
          <x:t xml:space="preserve">2027</x:t>
        </x:is>
      </x:c>
      <x:c r="H3" s="4" t="inlineStr">
        <x:is>
          <x:t xml:space="preserve">2028+</x:t>
        </x:is>
      </x:c>
      <x:c r="I3" s="4" t="inlineStr">
        <x:is>
          <x:t xml:space="preserve">Total</x:t>
        </x:is>
      </x:c>
      <x:c r="J3" s="4" t="inlineStr">
        <x:is>
          <x:t xml:space="preserve">Phase</x:t>
        </x:is>
      </x:c>
    </x:row>
    <x:row r="4" ht="38" customHeight="1">
      <x:c r="A4" s="2" t="inlineStr">
        <x:is>
          <x:t xml:space="preserve">2026</x:t>
        </x:is>
      </x:c>
      <x:c r="B4" s="5" t="n">
        <x:v>470000000</x:v>
      </x:c>
      <x:c r="C4" s="2" t="inlineStr">
        <x:is>
          <x:t xml:space="preserve">Land close, enabling works, launch and early construction</x:t>
        </x:is>
      </x:c>
      <x:c r="D4" s="2" t="n"/>
      <x:c r="E4" s="2" t="inlineStr">
        <x:is>
          <x:t xml:space="preserve">Aurelia Marina Residences</x:t>
        </x:is>
      </x:c>
      <x:c r="F4" s="5" t="n">
        <x:v>75000000</x:v>
      </x:c>
      <x:c r="G4" s="5" t="n">
        <x:v>65000000</x:v>
      </x:c>
      <x:c r="H4" s="5" t="n">
        <x:v>10000000</x:v>
      </x:c>
      <x:c r="I4" s="5">
        <x:f>SUM(F4:H4)</x:f>
        <x:v>150000000</x:v>
      </x:c>
      <x:c r="J4" s="2" t="inlineStr">
        <x:is>
          <x:t xml:space="preserve">Land close / enabling works</x:t>
        </x:is>
      </x:c>
    </x:row>
    <x:row r="5" ht="38" customHeight="1">
      <x:c r="A5" s="2" t="inlineStr">
        <x:is>
          <x:t xml:space="preserve">2027</x:t>
        </x:is>
      </x:c>
      <x:c r="B5" s="5" t="n">
        <x:v>515000000</x:v>
      </x:c>
      <x:c r="C5" s="2" t="inlineStr">
        <x:is>
          <x:t xml:space="preserve">Main build cycle, branded fit-out, infrastructure</x:t>
        </x:is>
      </x:c>
      <x:c r="D5" s="2" t="n"/>
      <x:c r="E5" s="2" t="inlineStr">
        <x:is>
          <x:t xml:space="preserve">Palm Crescent Villas</x:t>
        </x:is>
      </x:c>
      <x:c r="F5" s="5" t="n">
        <x:v>50000000</x:v>
      </x:c>
      <x:c r="G5" s="5" t="n">
        <x:v>60000000</x:v>
      </x:c>
      <x:c r="H5" s="5" t="n">
        <x:v>10000000</x:v>
      </x:c>
      <x:c r="I5" s="5">
        <x:f>SUM(F5:H5)</x:f>
        <x:v>120000000</x:v>
      </x:c>
      <x:c r="J5" s="2" t="inlineStr">
        <x:is>
          <x:t xml:space="preserve">Superstructure / fit-out</x:t>
        </x:is>
      </x:c>
    </x:row>
    <x:row r="6" ht="38" customHeight="1">
      <x:c r="A6" s="2" t="inlineStr">
        <x:is>
          <x:t xml:space="preserve">2028+</x:t>
        </x:is>
      </x:c>
      <x:c r="B6" s="5" t="n">
        <x:v>120000000</x:v>
      </x:c>
      <x:c r="C6" s="2" t="inlineStr">
        <x:is>
          <x:t xml:space="preserve">Completion support, expansion platform and residual contingency</x:t>
        </x:is>
      </x:c>
      <x:c r="D6" s="2" t="n"/>
      <x:c r="E6" s="2" t="inlineStr">
        <x:is>
          <x:t xml:space="preserve">Downtown Branded Residences</x:t>
        </x:is>
      </x:c>
      <x:c r="F6" s="5" t="n">
        <x:v>50000000</x:v>
      </x:c>
      <x:c r="G6" s="5" t="n">
        <x:v>95000000</x:v>
      </x:c>
      <x:c r="H6" s="5" t="n">
        <x:v>30000000</x:v>
      </x:c>
      <x:c r="I6" s="5">
        <x:f>SUM(F6:H6)</x:f>
        <x:v>175000000</x:v>
      </x:c>
      <x:c r="J6" s="2" t="inlineStr">
        <x:is>
          <x:t xml:space="preserve">Design finalization / pre-sales</x:t>
        </x:is>
      </x:c>
    </x:row>
    <x:row r="7">
      <x:c r="A7" s="2" t="n"/>
      <x:c r="B7" s="2" t="n"/>
      <x:c r="C7" s="2" t="n"/>
      <x:c r="D7" s="2" t="n"/>
      <x:c r="E7" s="2" t="inlineStr">
        <x:is>
          <x:t xml:space="preserve">Jumeirah Mixed-Use Quarter</x:t>
        </x:is>
      </x:c>
      <x:c r="F7" s="5" t="n">
        <x:v>65000000</x:v>
      </x:c>
      <x:c r="G7" s="5" t="n">
        <x:v>110000000</x:v>
      </x:c>
      <x:c r="H7" s="5" t="n">
        <x:v>35000000</x:v>
      </x:c>
      <x:c r="I7" s="5">
        <x:f>SUM(F7:H7)</x:f>
        <x:v>210000000</x:v>
      </x:c>
      <x:c r="J7" s="2" t="inlineStr">
        <x:is>
          <x:t xml:space="preserve">Land assembly / permitting</x:t>
        </x:is>
      </x:c>
    </x:row>
    <x:row r="8">
      <x:c r="A8" s="2" t="n"/>
      <x:c r="B8" s="2" t="n"/>
      <x:c r="C8" s="2" t="n"/>
      <x:c r="D8" s="2" t="n"/>
      <x:c r="E8" s="2" t="inlineStr">
        <x:is>
          <x:t xml:space="preserve">Creekside Hospitality Residences</x:t>
        </x:is>
      </x:c>
      <x:c r="F8" s="5" t="n">
        <x:v>40000000</x:v>
      </x:c>
      <x:c r="G8" s="5" t="n">
        <x:v>45000000</x:v>
      </x:c>
      <x:c r="H8" s="5" t="n">
        <x:v>10000000</x:v>
      </x:c>
      <x:c r="I8" s="5">
        <x:f>SUM(F8:H8)</x:f>
        <x:v>95000000</x:v>
      </x:c>
      <x:c r="J8" s="2" t="inlineStr">
        <x:is>
          <x:t xml:space="preserve">Foundation / sales launch</x:t>
        </x:is>
      </x:c>
    </x:row>
    <x:row r="9">
      <x:c r="A9" s="2" t="n"/>
      <x:c r="B9" s="2" t="n"/>
      <x:c r="C9" s="2" t="n"/>
      <x:c r="D9" s="2" t="n"/>
      <x:c r="E9" s="2" t="inlineStr">
        <x:is>
          <x:t xml:space="preserve">GCC Strategic Expansion Platform</x:t>
        </x:is>
      </x:c>
      <x:c r="F9" s="5" t="n">
        <x:v>25000000</x:v>
      </x:c>
      <x:c r="G9" s="5" t="n">
        <x:v>20000000</x:v>
      </x:c>
      <x:c r="H9" s="5" t="n">
        <x:v>10000000</x:v>
      </x:c>
      <x:c r="I9" s="5">
        <x:f>SUM(F9:H9)</x:f>
        <x:v>55000000</x:v>
      </x:c>
      <x:c r="J9" s="2" t="inlineStr">
        <x:is>
          <x:t xml:space="preserve">Pipeline seeding / platform build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0" customWidth="1"/>
    <x:col min="3" max="3" width="28" customWidth="1"/>
    <x:col min="4" max="4" width="42" customWidth="1"/>
  </x:cols>
  <x:sheetData>
    <x:row r="1" ht="22" customHeight="1">
      <x:c r="A1" s="12" t="inlineStr">
        <x:is>
          <x:t xml:space="preserve">Aurelia Developments LLC</x:t>
        </x:is>
      </x:c>
    </x:row>
    <x:row r="2" ht="18" customHeight="1">
      <x:c r="A2" s="3" t="inlineStr">
        <x:is>
          <x:t xml:space="preserve">Total Capital Amount Sought (USD presentation)</x:t>
        </x:is>
      </x:c>
    </x:row>
    <x:row r="3" ht="22" customHeight="1">
      <x:c r="A3" s="4" t="inlineStr">
        <x:is>
          <x:t xml:space="preserve">Investor Category</x:t>
        </x:is>
      </x:c>
      <x:c r="B3" s="4" t="inlineStr">
        <x:is>
          <x:t xml:space="preserve">Minimum Investment (USD)</x:t>
        </x:is>
      </x:c>
      <x:c r="C3" s="4" t="inlineStr">
        <x:is>
          <x:t xml:space="preserve">Expected Ownership / Participation</x:t>
        </x:is>
      </x:c>
      <x:c r="D3" s="4" t="inlineStr">
        <x:is>
          <x:t xml:space="preserve">Indicative Rights</x:t>
        </x:is>
      </x:c>
    </x:row>
    <x:row r="4" ht="34" customHeight="1">
      <x:c r="A4" s="2" t="inlineStr">
        <x:is>
          <x:t xml:space="preserve">Lead PE / Institutional Anchor</x:t>
        </x:is>
      </x:c>
      <x:c r="B4" s="5" t="n">
        <x:v>50000000</x:v>
      </x:c>
      <x:c r="C4" s="2" t="inlineStr">
        <x:is>
          <x:t xml:space="preserve">50%–70% of new equity round</x:t>
        </x:is>
      </x:c>
      <x:c r="D4" s="2" t="inlineStr">
        <x:is>
          <x:t xml:space="preserve">Board seat, reserved matters, enhanced reporting</x:t>
        </x:is>
      </x:c>
    </x:row>
    <x:row r="5" ht="34" customHeight="1">
      <x:c r="A5" s="2" t="inlineStr">
        <x:is>
          <x:t xml:space="preserve">Strategic / Family Office Capital</x:t>
        </x:is>
      </x:c>
      <x:c r="B5" s="5" t="n">
        <x:v>15000000</x:v>
      </x:c>
      <x:c r="C5" s="2" t="inlineStr">
        <x:is>
          <x:t xml:space="preserve">15%–30% of new equity round</x:t>
        </x:is>
      </x:c>
      <x:c r="D5" s="2" t="inlineStr">
        <x:is>
          <x:t xml:space="preserve">Information rights, co-invest access, project election rights</x:t>
        </x:is>
      </x:c>
    </x:row>
    <x:row r="6" ht="34" customHeight="1">
      <x:c r="A6" s="2" t="inlineStr">
        <x:is>
          <x:t xml:space="preserve">Project-Level Co-Investors</x:t>
        </x:is>
      </x:c>
      <x:c r="B6" s="5" t="n">
        <x:v>10000000</x:v>
      </x:c>
      <x:c r="C6" s="2" t="inlineStr">
        <x:is>
          <x:t xml:space="preserve">10%–20% of new equity round</x:t>
        </x:is>
      </x:c>
      <x:c r="D6" s="2" t="inlineStr">
        <x:is>
          <x:t xml:space="preserve">Asset-level distributions, ring-fenced economics</x:t>
        </x:is>
      </x:c>
    </x:row>
  </x:sheetData>
  <x:mergeCells>
    <x:mergeCell ref="A1:D1"/>
    <x:mergeCell ref="A2:D2"/>
  </x:mergeCells>
  <x:pageMargins left="0.7" right="0.7" top="0.75" bottom="0.75" header="0.3" footer="0.3"/>
</x:worksheet>
</file>