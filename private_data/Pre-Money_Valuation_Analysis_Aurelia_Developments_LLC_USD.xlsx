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622533d000f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ation Summary" sheetId="1" r:id="R81579c1742414ae2"/>
    <x:sheet xmlns:r="http://schemas.openxmlformats.org/officeDocument/2006/relationships" name="DCF Model" sheetId="2" r:id="Raa36165749df457e"/>
    <x:sheet xmlns:r="http://schemas.openxmlformats.org/officeDocument/2006/relationships" name="Comparable Company Analysis" sheetId="3" r:id="R318bf091627b4cc1"/>
    <x:sheet xmlns:r="http://schemas.openxmlformats.org/officeDocument/2006/relationships" name="Development Pipeline Valuation" sheetId="4" r:id="R2680d7ee618e4cfa"/>
    <x:sheet xmlns:r="http://schemas.openxmlformats.org/officeDocument/2006/relationships" name="Net Asset Value" sheetId="5" r:id="Rb7fcab9fe80147cb"/>
    <x:sheet xmlns:r="http://schemas.openxmlformats.org/officeDocument/2006/relationships" name="Sensitivity Analysis" sheetId="6" r:id="Rf70be661fd0847c7"/>
    <x:sheet xmlns:r="http://schemas.openxmlformats.org/officeDocument/2006/relationships" name="Pre-Money Calculation" sheetId="7" r:id="Rc54197c71c314f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164" formatCode="$#,##0_);[Red]($#,##0)"/>
    <x:numFmt numFmtId="165" formatCode="0.000x"/>
    <x:numFmt numFmtId="166" formatCode="0.0x"/>
    <x:numFmt numFmtId="167" formatCode="0.0%"/>
  </x:numFmts>
  <x:fonts count="5">
    <x:font>
      <x:sz val="11"/>
      <x:color theme="1"/>
      <x:name val="Calibri"/>
      <x:family val="2"/>
      <x:scheme val="minor"/>
    </x:font>
    <x:font>
      <x:b/>
      <x:sz val="14"/>
      <x:color rgb="001F4E78"/>
    </x:font>
    <x:font>
      <x:i/>
      <x:color rgb="00666666"/>
    </x:font>
    <x:font>
      <x:b/>
      <x:color rgb="00FFFFFF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001F4E78"/>
      </x:patternFill>
    </x:fill>
  </x:fills>
  <x:borders count="2">
    <x:border>
      <x:left/>
      <x:right/>
      <x:top/>
      <x:bottom/>
      <x:diagonal/>
    </x:border>
    <x:border>
      <x:bottom style="thin">
        <x:color rgb="00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/>
    <x:xf numFmtId="0" fontId="2" fillId="0" borderId="0" xfId="0"/>
    <x:xf numFmtId="0" fontId="3" fillId="2" borderId="0" xfId="0" applyAlignment="1">
      <x:alignment vertical="center" wrapText="1"/>
    </x:xf>
    <x:xf numFmtId="0" fontId="0" fillId="0" borderId="1" xfId="0" applyAlignment="1">
      <x:alignment vertical="center" wrapText="1"/>
    </x:xf>
    <x:xf numFmtId="164" fontId="0" fillId="0" borderId="1" xfId="0" applyAlignment="1">
      <x:alignment vertical="center" wrapText="1"/>
    </x:xf>
    <x:xf numFmtId="165" fontId="0" fillId="0" borderId="1" xfId="0" applyAlignment="1">
      <x:alignment vertical="center" wrapText="1"/>
    </x:xf>
    <x:xf numFmtId="0" fontId="4" fillId="0" borderId="1" xfId="0" applyAlignment="1">
      <x:alignment vertical="center" wrapText="1"/>
    </x:xf>
    <x:xf numFmtId="164" fontId="4" fillId="0" borderId="1" xfId="0" applyAlignment="1">
      <x:alignment vertical="center" wrapText="1"/>
    </x:xf>
    <x:xf numFmtId="166" fontId="0" fillId="0" borderId="1" xfId="0" applyAlignment="1">
      <x:alignment vertical="center" wrapText="1"/>
    </x:xf>
    <x:xf numFmtId="167" fontId="0" fillId="0" borderId="1" xfId="0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99369892847a8" /><Relationship Type="http://schemas.openxmlformats.org/officeDocument/2006/relationships/theme" Target="/xl/theme/theme1.xml" Id="R9d7622ba63134f5b" /><Relationship Type="http://schemas.openxmlformats.org/officeDocument/2006/relationships/sharedStrings" Target="/xl/sharedStrings.xml" Id="R7fc84e0c870849b4" /><Relationship Type="http://schemas.openxmlformats.org/officeDocument/2006/relationships/worksheet" Target="/xl/worksheets/sheet1.xml" Id="R81579c1742414ae2" /><Relationship Type="http://schemas.openxmlformats.org/officeDocument/2006/relationships/worksheet" Target="/xl/worksheets/sheet2.xml" Id="Raa36165749df457e" /><Relationship Type="http://schemas.openxmlformats.org/officeDocument/2006/relationships/worksheet" Target="/xl/worksheets/sheet3.xml" Id="R318bf091627b4cc1" /><Relationship Type="http://schemas.openxmlformats.org/officeDocument/2006/relationships/worksheet" Target="/xl/worksheets/sheet4.xml" Id="R2680d7ee618e4cfa" /><Relationship Type="http://schemas.openxmlformats.org/officeDocument/2006/relationships/worksheet" Target="/xl/worksheets/sheet5.xml" Id="Rb7fcab9fe80147cb" /><Relationship Type="http://schemas.openxmlformats.org/officeDocument/2006/relationships/worksheet" Target="/xl/worksheets/sheet6.xml" Id="Rf70be661fd0847c7" /><Relationship Type="http://schemas.openxmlformats.org/officeDocument/2006/relationships/worksheet" Target="/xl/worksheets/sheet7.xml" Id="Rc54197c71c314f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446c21c96c420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f556a0fb127544fb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Valuation Methods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barChart>
        <c:barDir val="col"/>
        <c:grouping val="clustered"/>
        <c:ser>
          <c:idx val="0"/>
          <c:order val="0"/>
          <c:tx>
            <c:strRef>
              <c:f>'Valuation Summary'!B3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'Valuation Summary'!$A$4:$A$5</c:f>
              <c:strCache>
                <c:ptCount val="0"/>
              </c:strCache>
            </c:strRef>
          </c:cat>
          <c:val>
            <c:numRef>
              <c:f>'Valuation Summary'!$B$4:$B$5</c:f>
              <c:numCache>
                <c:formatCode/>
                <c:ptCount val="0"/>
              </c:numCache>
            </c:numRef>
          </c:val>
        </c:ser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charts/chart2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Projected Revenue and OCF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'DCF Model'!B3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'DCF Model'!$A$4:$A$8</c:f>
              <c:strCache>
                <c:ptCount val="0"/>
              </c:strCache>
            </c:strRef>
          </c:cat>
          <c:val>
            <c:numRef>
              <c:f>'DCF Model'!$B$4:$B$8</c:f>
              <c:numCache>
                <c:formatCode/>
                <c:ptCount val="0"/>
              </c:numCache>
            </c:numRef>
          </c:val>
          <c:smooth val="0"/>
        </c:ser>
        <c:ser>
          <c:idx val="1"/>
          <c:order val="1"/>
          <c:tx>
            <c:strRef>
              <c:f>'DCF Model'!C3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marker>
            <c:symbol val="none"/>
          </c:marker>
          <c:cat>
            <c:strRef>
              <c:f>'DCF Model'!$A$4:$A$8</c:f>
              <c:strCache>
                <c:ptCount val="0"/>
              </c:strCache>
            </c:strRef>
          </c:cat>
          <c:val>
            <c:numRef>
              <c:f>'DCF Model'!$C$4:$C$8</c:f>
              <c:numCache>
                <c:formatCode/>
                <c:ptCount val="0"/>
              </c:numCache>
            </c:numRef>
          </c:val>
          <c:smooth val="0"/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l"/>
        <c:numFmt formatCode=""/>
        <c:majorTickMark val="none"/>
        <c:minorTickMark val="none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r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446c21c96c420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56a0fb127544f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857adb7a93412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ee3fb7211a30476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24" customWidth="1"/>
  </x:cols>
  <x:sheetData>
    <x:row r="1">
      <x:c r="A1" s="1" t="inlineStr">
        <x:is>
          <x:t xml:space="preserve">Pre-Money Valuation Analysis – Valuation Summary</x:t>
        </x:is>
      </x:c>
    </x:row>
    <x:row r="2">
      <x:c r="A2" s="2" t="inlineStr">
        <x:is>
          <x:t xml:space="preserve">All amounts in USD unless stated otherwise</x:t>
        </x:is>
      </x:c>
    </x:row>
    <x:row r="3">
      <x:c r="A3" s="3" t="inlineStr">
        <x:is>
          <x:t xml:space="preserve">Valuation Method</x:t>
        </x:is>
      </x:c>
      <x:c r="B3" s="3" t="inlineStr">
        <x:is>
          <x:t xml:space="preserve">Estimated Value (USD)</x:t>
        </x:is>
      </x:c>
    </x:row>
    <x:row r="4">
      <x:c r="A4" s="4" t="inlineStr">
        <x:is>
          <x:t xml:space="preserve">DCF Valuation</x:t>
        </x:is>
      </x:c>
      <x:c r="B4" s="5" t="n">
        <x:v>2641621768</x:v>
      </x:c>
    </x:row>
    <x:row r="5">
      <x:c r="A5" s="4" t="inlineStr">
        <x:is>
          <x:t xml:space="preserve">Comparable Company Valuation</x:t>
        </x:is>
      </x:c>
      <x:c r="B5" s="5" t="n">
        <x:v>2636000000</x:v>
      </x:c>
    </x:row>
    <x:row r="6">
      <x:c r="A6" s="4" t="inlineStr">
        <x:is>
          <x:t xml:space="preserve">Net Asset Value</x:t>
        </x:is>
      </x:c>
      <x:c r="B6" s="5" t="n">
        <x:v>2950000000</x:v>
      </x:c>
    </x:row>
    <x:row r="7">
      <x:c r="A7" s="4" t="inlineStr">
        <x:is>
          <x:t xml:space="preserve">Blended Enterprise Value</x:t>
        </x:is>
      </x:c>
      <x:c r="B7" s="5" t="n">
        <x:v>2748148707</x:v>
      </x:c>
    </x:row>
    <x:row r="8">
      <x:c r="A8" s="4" t="inlineStr">
        <x:is>
          <x:t xml:space="preserve">Pre-Money Equity Value</x:t>
        </x:is>
      </x:c>
      <x:c r="B8" s="5" t="n">
        <x:v>2108148707</x:v>
      </x:c>
    </x:row>
  </x:sheetData>
  <x:pageMargins left="0.7" right="0.7" top="0.75" bottom="0.75" header="0.3" footer="0.3"/>
  <x:drawing xmlns:r="http://schemas.openxmlformats.org/officeDocument/2006/relationships" r:id="Rb4857adb7a93412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26" customWidth="1"/>
    <x:col min="3" max="3" width="28" customWidth="1"/>
    <x:col min="4" max="4" width="21" customWidth="1"/>
    <x:col min="5" max="5" width="29" customWidth="1"/>
  </x:cols>
  <x:sheetData>
    <x:row r="1">
      <x:c r="A1" s="1" t="inlineStr">
        <x:is>
          <x:t xml:space="preserve">Discounted Cash Flow Model</x:t>
        </x:is>
      </x:c>
    </x:row>
    <x:row r="2">
      <x:c r="A2" s="2" t="inlineStr">
        <x:is>
          <x:t xml:space="preserve">All amounts in USD unless stated otherwise</x:t>
        </x:is>
      </x:c>
    </x:row>
    <x:row r="3">
      <x:c r="A3" s="3" t="inlineStr">
        <x:is>
          <x:t xml:space="preserve">Year</x:t>
        </x:is>
      </x:c>
      <x:c r="B3" s="3" t="inlineStr">
        <x:is>
          <x:t xml:space="preserve">Projected Revenue (USD)</x:t>
        </x:is>
      </x:c>
      <x:c r="C3" s="3" t="inlineStr">
        <x:is>
          <x:t xml:space="preserve">Operating Cash Flow (USD)</x:t>
        </x:is>
      </x:c>
      <x:c r="D3" s="3" t="inlineStr">
        <x:is>
          <x:t xml:space="preserve">Discount Factor</x:t>
        </x:is>
      </x:c>
      <x:c r="E3" s="3" t="inlineStr">
        <x:is>
          <x:t xml:space="preserve">Discounted Cash Flow (USD)</x:t>
        </x:is>
      </x:c>
    </x:row>
    <x:row r="4">
      <x:c r="A4" s="4" t="n">
        <x:v>2024</x:v>
      </x:c>
      <x:c r="B4" s="5" t="n">
        <x:v>1180000000</x:v>
      </x:c>
      <x:c r="C4" s="5" t="n">
        <x:v>175000000</x:v>
      </x:c>
      <x:c r="D4" s="6" t="n">
        <x:v>0.8888888888888888</x:v>
      </x:c>
      <x:c r="E4" s="5" t="n">
        <x:v>155555555.5555556</x:v>
      </x:c>
    </x:row>
    <x:row r="5">
      <x:c r="A5" s="4" t="n">
        <x:v>2025</x:v>
      </x:c>
      <x:c r="B5" s="5" t="n">
        <x:v>1320000000</x:v>
      </x:c>
      <x:c r="C5" s="5" t="n">
        <x:v>208000000</x:v>
      </x:c>
      <x:c r="D5" s="6" t="n">
        <x:v>0.7901234567901234</x:v>
      </x:c>
      <x:c r="E5" s="5" t="n">
        <x:v>164345679.0123457</x:v>
      </x:c>
    </x:row>
    <x:row r="6">
      <x:c r="A6" s="4" t="n">
        <x:v>2026</x:v>
      </x:c>
      <x:c r="B6" s="5" t="n">
        <x:v>1470000000</x:v>
      </x:c>
      <x:c r="C6" s="5" t="n">
        <x:v>240000000</x:v>
      </x:c>
      <x:c r="D6" s="6" t="n">
        <x:v>0.7023319615912208</x:v>
      </x:c>
      <x:c r="E6" s="5" t="n">
        <x:v>168559670.781893</x:v>
      </x:c>
    </x:row>
    <x:row r="7">
      <x:c r="A7" s="4" t="n">
        <x:v>2027</x:v>
      </x:c>
      <x:c r="B7" s="5" t="n">
        <x:v>1610000000</x:v>
      </x:c>
      <x:c r="C7" s="5" t="n">
        <x:v>270000000</x:v>
      </x:c>
      <x:c r="D7" s="6" t="n">
        <x:v>0.6242950769699741</x:v>
      </x:c>
      <x:c r="E7" s="5" t="n">
        <x:v>168559670.781893</x:v>
      </x:c>
    </x:row>
    <x:row r="8">
      <x:c r="A8" s="4" t="n">
        <x:v>2028</x:v>
      </x:c>
      <x:c r="B8" s="5" t="n">
        <x:v>1760000000</x:v>
      </x:c>
      <x:c r="C8" s="5" t="n">
        <x:v>302000000</x:v>
      </x:c>
      <x:c r="D8" s="6" t="n">
        <x:v>0.5549289573066436</x:v>
      </x:c>
      <x:c r="E8" s="5" t="n">
        <x:v>167588545.1066064</x:v>
      </x:c>
    </x:row>
    <x:row r="9">
      <x:c r="A9" s="7" t="inlineStr">
        <x:is>
          <x:t xml:space="preserve">Terminal Value</x:t>
        </x:is>
      </x:c>
      <x:c r="C9" s="5" t="n">
        <x:v>3274315789.473684</x:v>
      </x:c>
      <x:c r="E9" s="5" t="n">
        <x:v>1817012646.945311</x:v>
      </x:c>
    </x:row>
    <x:row r="10">
      <x:c r="A10" s="7" t="inlineStr">
        <x:is>
          <x:t xml:space="preserve">DCF Enterprise Value</x:t>
        </x:is>
      </x:c>
      <x:c r="E10" s="8" t="n">
        <x:v>2641621768</x:v>
      </x:c>
    </x:row>
  </x:sheetData>
  <x:pageMargins left="0.7" right="0.7" top="0.75" bottom="0.75" header="0.3" footer="0.3"/>
  <x:drawing xmlns:r="http://schemas.openxmlformats.org/officeDocument/2006/relationships" r:id="Ree3fb7211a304769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31" customWidth="1"/>
    <x:col min="3" max="3" width="19" customWidth="1"/>
    <x:col min="4" max="4" width="18" customWidth="1"/>
    <x:col min="5" max="5" width="26" customWidth="1"/>
  </x:cols>
  <x:sheetData>
    <x:row r="1">
      <x:c r="A1" s="1" t="inlineStr">
        <x:is>
          <x:t xml:space="preserve">Comparable Company Analysis</x:t>
        </x:is>
      </x:c>
    </x:row>
    <x:row r="2">
      <x:c r="A2" s="2" t="inlineStr">
        <x:is>
          <x:t xml:space="preserve">All amounts in USD unless stated otherwise</x:t>
        </x:is>
      </x:c>
    </x:row>
    <x:row r="3">
      <x:c r="A3" s="3" t="inlineStr">
        <x:is>
          <x:t xml:space="preserve">Comparable Company</x:t>
        </x:is>
      </x:c>
      <x:c r="B3" s="3" t="inlineStr">
        <x:is>
          <x:t xml:space="preserve">Industry</x:t>
        </x:is>
      </x:c>
      <x:c r="C3" s="3" t="inlineStr">
        <x:is>
          <x:t xml:space="preserve">Revenue Multiple</x:t>
        </x:is>
      </x:c>
      <x:c r="D3" s="3" t="inlineStr">
        <x:is>
          <x:t xml:space="preserve">EBITDA Multiple</x:t>
        </x:is>
      </x:c>
      <x:c r="E3" s="3" t="inlineStr">
        <x:is>
          <x:t xml:space="preserve">Implied Valuation (USD)</x:t>
        </x:is>
      </x:c>
    </x:row>
    <x:row r="4">
      <x:c r="A4" s="4" t="inlineStr">
        <x:is>
          <x:t xml:space="preserve">Emaar Properties</x:t>
        </x:is>
      </x:c>
      <x:c r="B4" s="4" t="inlineStr">
        <x:is>
          <x:t xml:space="preserve">UAE developer</x:t>
        </x:is>
      </x:c>
      <x:c r="C4" s="9" t="n">
        <x:v>2.4</x:v>
      </x:c>
      <x:c r="D4" s="9" t="n">
        <x:v>10.2</x:v>
      </x:c>
      <x:c r="E4" s="5" t="n">
        <x:v>2600000000</x:v>
      </x:c>
    </x:row>
    <x:row r="5">
      <x:c r="A5" s="4" t="inlineStr">
        <x:is>
          <x:t xml:space="preserve">DAMAC Properties</x:t>
        </x:is>
      </x:c>
      <x:c r="B5" s="4" t="inlineStr">
        <x:is>
          <x:t xml:space="preserve">UAE luxury developer</x:t>
        </x:is>
      </x:c>
      <x:c r="C5" s="9" t="n">
        <x:v>2.7</x:v>
      </x:c>
      <x:c r="D5" s="9" t="n">
        <x:v>11.3</x:v>
      </x:c>
      <x:c r="E5" s="5" t="n">
        <x:v>2900000000</x:v>
      </x:c>
    </x:row>
    <x:row r="6">
      <x:c r="A6" s="4" t="inlineStr">
        <x:is>
          <x:t xml:space="preserve">Aldar Development</x:t>
        </x:is>
      </x:c>
      <x:c r="B6" s="4" t="inlineStr">
        <x:is>
          <x:t xml:space="preserve">UAE mixed-use developer</x:t>
        </x:is>
      </x:c>
      <x:c r="C6" s="9" t="n">
        <x:v>2.6</x:v>
      </x:c>
      <x:c r="D6" s="9" t="n">
        <x:v>11</x:v>
      </x:c>
      <x:c r="E6" s="5" t="n">
        <x:v>2780000000</x:v>
      </x:c>
    </x:row>
    <x:row r="7">
      <x:c r="A7" s="4" t="inlineStr">
        <x:is>
          <x:t xml:space="preserve">Deyaar Development</x:t>
        </x:is>
      </x:c>
      <x:c r="B7" s="4" t="inlineStr">
        <x:is>
          <x:t xml:space="preserve">UAE residential developer</x:t>
        </x:is>
      </x:c>
      <x:c r="C7" s="9" t="n">
        <x:v>2.1</x:v>
      </x:c>
      <x:c r="D7" s="9" t="n">
        <x:v>9.4</x:v>
      </x:c>
      <x:c r="E7" s="5" t="n">
        <x:v>2250000000</x:v>
      </x:c>
    </x:row>
    <x:row r="8">
      <x:c r="A8" s="4" t="inlineStr">
        <x:is>
          <x:t xml:space="preserve">Regional Premium Homes Co.</x:t>
        </x:is>
      </x:c>
      <x:c r="B8" s="4" t="inlineStr">
        <x:is>
          <x:t xml:space="preserve">GCC luxury residential proxy</x:t>
        </x:is>
      </x:c>
      <x:c r="C8" s="9" t="n">
        <x:v>2.5</x:v>
      </x:c>
      <x:c r="D8" s="9" t="n">
        <x:v>10.6</x:v>
      </x:c>
      <x:c r="E8" s="5" t="n">
        <x:v>2650000000</x:v>
      </x:c>
    </x:row>
    <x:row r="9">
      <x:c r="A9" s="7" t="inlineStr">
        <x:is>
          <x:t xml:space="preserve">Average</x:t>
        </x:is>
      </x:c>
      <x:c r="E9" s="8" t="n">
        <x:v>2636000000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32" customWidth="1"/>
    <x:col min="3" max="3" width="25" customWidth="1"/>
    <x:col min="4" max="4" width="22" customWidth="1"/>
  </x:cols>
  <x:sheetData>
    <x:row r="1">
      <x:c r="A1" s="1" t="inlineStr">
        <x:is>
          <x:t xml:space="preserve">Development Pipeline Valuation</x:t>
        </x:is>
      </x:c>
    </x:row>
    <x:row r="2">
      <x:c r="A2" s="2" t="inlineStr">
        <x:is>
          <x:t xml:space="preserve">All amounts in USD unless stated otherwise</x:t>
        </x:is>
      </x:c>
    </x:row>
    <x:row r="3">
      <x:c r="A3" s="3" t="inlineStr">
        <x:is>
          <x:t xml:space="preserve">Project Name</x:t>
        </x:is>
      </x:c>
      <x:c r="B3" s="3" t="inlineStr">
        <x:is>
          <x:t xml:space="preserve">Estimated Sales Revenue (USD)</x:t>
        </x:is>
      </x:c>
      <x:c r="C3" s="3" t="inlineStr">
        <x:is>
          <x:t xml:space="preserve">Development Cost (USD)</x:t>
        </x:is>
      </x:c>
      <x:c r="D3" s="3" t="inlineStr">
        <x:is>
          <x:t xml:space="preserve">Project Value (USD)</x:t>
        </x:is>
      </x:c>
    </x:row>
    <x:row r="4">
      <x:c r="A4" s="4" t="inlineStr">
        <x:is>
          <x:t xml:space="preserve">Aurelia Marina Residences</x:t>
        </x:is>
      </x:c>
      <x:c r="B4" s="5" t="n">
        <x:v>620000000</x:v>
      </x:c>
      <x:c r="C4" s="5" t="n">
        <x:v>410000000</x:v>
      </x:c>
      <x:c r="D4" s="5" t="n">
        <x:v>210000000</x:v>
      </x:c>
    </x:row>
    <x:row r="5">
      <x:c r="A5" s="4" t="inlineStr">
        <x:is>
          <x:t xml:space="preserve">Palm Crescent Villas</x:t>
        </x:is>
      </x:c>
      <x:c r="B5" s="5" t="n">
        <x:v>540000000</x:v>
      </x:c>
      <x:c r="C5" s="5" t="n">
        <x:v>365000000</x:v>
      </x:c>
      <x:c r="D5" s="5" t="n">
        <x:v>175000000</x:v>
      </x:c>
    </x:row>
    <x:row r="6">
      <x:c r="A6" s="4" t="inlineStr">
        <x:is>
          <x:t xml:space="preserve">Downtown Branded Residences</x:t>
        </x:is>
      </x:c>
      <x:c r="B6" s="5" t="n">
        <x:v>815000000</x:v>
      </x:c>
      <x:c r="C6" s="5" t="n">
        <x:v>575000000</x:v>
      </x:c>
      <x:c r="D6" s="5" t="n">
        <x:v>240000000</x:v>
      </x:c>
    </x:row>
    <x:row r="7">
      <x:c r="A7" s="4" t="inlineStr">
        <x:is>
          <x:t xml:space="preserve">Jumeirah Mixed-Use Quarter</x:t>
        </x:is>
      </x:c>
      <x:c r="B7" s="5" t="n">
        <x:v>910000000</x:v>
      </x:c>
      <x:c r="C7" s="5" t="n">
        <x:v>690000000</x:v>
      </x:c>
      <x:c r="D7" s="5" t="n">
        <x:v>220000000</x:v>
      </x:c>
    </x:row>
    <x:row r="8">
      <x:c r="A8" s="4" t="inlineStr">
        <x:is>
          <x:t xml:space="preserve">Creekside Hospitality Residences</x:t>
        </x:is>
      </x:c>
      <x:c r="B8" s="5" t="n">
        <x:v>455000000</x:v>
      </x:c>
      <x:c r="C8" s="5" t="n">
        <x:v>305000000</x:v>
      </x:c>
      <x:c r="D8" s="5" t="n">
        <x:v>150000000</x:v>
      </x:c>
    </x:row>
    <x:row r="9">
      <x:c r="A9" s="7" t="inlineStr">
        <x:is>
          <x:t xml:space="preserve">Total</x:t>
        </x:is>
      </x:c>
      <x:c r="B9" s="8">
        <x:f>SUM(B4:B8)</x:f>
        <x:v>3340000000</x:v>
      </x:c>
      <x:c r="C9" s="8">
        <x:f>SUM(C4:C8)</x:f>
        <x:v>2345000000</x:v>
      </x:c>
      <x:c r="D9" s="8">
        <x:f>SUM(D4:D8)</x:f>
        <x:v>995000000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31" customWidth="1"/>
  </x:cols>
  <x:sheetData>
    <x:row r="1">
      <x:c r="A1" s="1" t="inlineStr">
        <x:is>
          <x:t xml:space="preserve">Net Asset Value</x:t>
        </x:is>
      </x:c>
    </x:row>
    <x:row r="2">
      <x:c r="A2" s="2" t="inlineStr">
        <x:is>
          <x:t xml:space="preserve">All amounts in USD unless stated otherwise</x:t>
        </x:is>
      </x:c>
    </x:row>
    <x:row r="3">
      <x:c r="A3" s="3" t="inlineStr">
        <x:is>
          <x:t xml:space="preserve">Asset Category</x:t>
        </x:is>
      </x:c>
      <x:c r="B3" s="3" t="inlineStr">
        <x:is>
          <x:t xml:space="preserve">Estimated Market Value (USD)</x:t>
        </x:is>
      </x:c>
    </x:row>
    <x:row r="4">
      <x:c r="A4" s="4" t="inlineStr">
        <x:is>
          <x:t xml:space="preserve">Land Holdings</x:t>
        </x:is>
      </x:c>
      <x:c r="B4" s="5" t="n">
        <x:v>930000000</x:v>
      </x:c>
    </x:row>
    <x:row r="5">
      <x:c r="A5" s="4" t="inlineStr">
        <x:is>
          <x:t xml:space="preserve">Projects Under Development</x:t>
        </x:is>
      </x:c>
      <x:c r="B5" s="5" t="n">
        <x:v>1210000000</x:v>
      </x:c>
    </x:row>
    <x:row r="6">
      <x:c r="A6" s="4" t="inlineStr">
        <x:is>
          <x:t xml:space="preserve">Completed Properties / Investment Assets</x:t>
        </x:is>
      </x:c>
      <x:c r="B6" s="5" t="n">
        <x:v>690000000</x:v>
      </x:c>
    </x:row>
    <x:row r="7">
      <x:c r="A7" s="4" t="inlineStr">
        <x:is>
          <x:t xml:space="preserve">Escrow &amp; Restricted Project Cash</x:t>
        </x:is>
      </x:c>
      <x:c r="B7" s="5" t="n">
        <x:v>120000000</x:v>
      </x:c>
    </x:row>
    <x:row r="8">
      <x:c r="A8" s="7" t="inlineStr">
        <x:is>
          <x:t xml:space="preserve">Total NAV</x:t>
        </x:is>
      </x:c>
      <x:c r="B8" s="8" t="n">
        <x:v>2950000000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6" customWidth="1"/>
    <x:col min="3" max="3" width="26" customWidth="1"/>
  </x:cols>
  <x:sheetData>
    <x:row r="1">
      <x:c r="A1" s="1" t="inlineStr">
        <x:is>
          <x:t xml:space="preserve">Sensitivity Analysis</x:t>
        </x:is>
      </x:c>
    </x:row>
    <x:row r="2">
      <x:c r="A2" s="2" t="inlineStr">
        <x:is>
          <x:t xml:space="preserve">All amounts in USD unless stated otherwise</x:t>
        </x:is>
      </x:c>
    </x:row>
    <x:row r="3">
      <x:c r="A3" s="3" t="inlineStr">
        <x:is>
          <x:t xml:space="preserve">Scenario</x:t>
        </x:is>
      </x:c>
      <x:c r="B3" s="3" t="inlineStr">
        <x:is>
          <x:t xml:space="preserve">Discount Rate</x:t>
        </x:is>
      </x:c>
      <x:c r="C3" s="3" t="inlineStr">
        <x:is>
          <x:t xml:space="preserve">Implied Valuation (USD)</x:t>
        </x:is>
      </x:c>
    </x:row>
    <x:row r="4">
      <x:c r="A4" s="4" t="inlineStr">
        <x:is>
          <x:t xml:space="preserve">Base case</x:t>
        </x:is>
      </x:c>
      <x:c r="B4" s="10" t="n">
        <x:v>0.125</x:v>
      </x:c>
      <x:c r="C4" s="5" t="n">
        <x:v>2108148707</x:v>
      </x:c>
    </x:row>
    <x:row r="5">
      <x:c r="A5" s="4" t="inlineStr">
        <x:is>
          <x:t xml:space="preserve">Lower discount rate</x:t>
        </x:is>
      </x:c>
      <x:c r="B5" s="10" t="n">
        <x:v>0.115</x:v>
      </x:c>
      <x:c r="C5" s="5" t="n">
        <x:v>2263148707</x:v>
      </x:c>
    </x:row>
    <x:row r="6">
      <x:c r="A6" s="4" t="inlineStr">
        <x:is>
          <x:t xml:space="preserve">Higher discount rate</x:t>
        </x:is>
      </x:c>
      <x:c r="B6" s="10" t="n">
        <x:v>0.135</x:v>
      </x:c>
      <x:c r="C6" s="5" t="n">
        <x:v>1968148707</x:v>
      </x:c>
    </x:row>
    <x:row r="7">
      <x:c r="A7" s="4" t="inlineStr">
        <x:is>
          <x:t xml:space="preserve">Revenue upside +5%</x:t>
        </x:is>
      </x:c>
      <x:c r="B7" s="10" t="n">
        <x:v>0.125</x:v>
      </x:c>
      <x:c r="C7" s="5" t="n">
        <x:v>2233148707</x:v>
      </x:c>
    </x:row>
    <x:row r="8">
      <x:c r="A8" s="4" t="inlineStr">
        <x:is>
          <x:t xml:space="preserve">Construction cost inflation +3%</x:t>
        </x:is>
      </x:c>
      <x:c r="B8" s="10" t="n">
        <x:v>0.125</x:v>
      </x:c>
      <x:c r="C8" s="5" t="n">
        <x:v>1998148707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2" customWidth="1"/>
    <x:col min="2" max="2" width="13" customWidth="1"/>
    <x:col min="3" max="3" width="13" customWidth="1"/>
    <x:col min="4" max="4" width="21" customWidth="1"/>
  </x:cols>
  <x:sheetData>
    <x:row r="1">
      <x:c r="A1" s="1" t="inlineStr">
        <x:is>
          <x:t xml:space="preserve">Pre-Money Valuation Calculation</x:t>
        </x:is>
      </x:c>
    </x:row>
    <x:row r="2">
      <x:c r="A2" s="2" t="inlineStr">
        <x:is>
          <x:t xml:space="preserve">All amounts in USD unless stated otherwise</x:t>
        </x:is>
      </x:c>
    </x:row>
    <x:row r="3">
      <x:c r="A3" s="3" t="inlineStr">
        <x:is>
          <x:t xml:space="preserve">Enterprise Value (USD)</x:t>
        </x:is>
      </x:c>
      <x:c r="B3" s="3" t="inlineStr">
        <x:is>
          <x:t xml:space="preserve">Debt (USD)</x:t>
        </x:is>
      </x:c>
      <x:c r="C3" s="3" t="inlineStr">
        <x:is>
          <x:t xml:space="preserve">Cash (USD)</x:t>
        </x:is>
      </x:c>
      <x:c r="D3" s="3" t="inlineStr">
        <x:is>
          <x:t xml:space="preserve">Equity Value (USD)</x:t>
        </x:is>
      </x:c>
    </x:row>
    <x:row r="4">
      <x:c r="A4" s="8" t="n">
        <x:v>2748148707</x:v>
      </x:c>
      <x:c r="B4" s="8" t="n">
        <x:v>850000000</x:v>
      </x:c>
      <x:c r="C4" s="8" t="n">
        <x:v>210000000</x:v>
      </x:c>
      <x:c r="D4" s="8" t="n">
        <x:v>2108148707</x:v>
      </x:c>
    </x:row>
  </x:sheetData>
  <x:pageMargins left="0.7" right="0.7" top="0.75" bottom="0.75" header="0.3" footer="0.3"/>
</x:worksheet>
</file>