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Shareholders" sheetId="2" state="visible" r:id="rId2"/>
    <sheet xmlns:r="http://schemas.openxmlformats.org/officeDocument/2006/relationships" name="3_Directors_Officers" sheetId="3" state="visible" r:id="rId3"/>
    <sheet xmlns:r="http://schemas.openxmlformats.org/officeDocument/2006/relationships" name="4_Intercompany" sheetId="4" state="visible" r:id="rId4"/>
    <sheet xmlns:r="http://schemas.openxmlformats.org/officeDocument/2006/relationships" name="5_JV_Transactions" sheetId="5" state="visible" r:id="rId5"/>
    <sheet xmlns:r="http://schemas.openxmlformats.org/officeDocument/2006/relationships" name="6_Outstanding_Balances" sheetId="6" state="visible" r:id="rId6"/>
    <sheet xmlns:r="http://schemas.openxmlformats.org/officeDocument/2006/relationships" name="7_Risk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dd-mmm-yyyy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3"/>
    </font>
    <font>
      <name val="Aptos"/>
      <b val="1"/>
    </font>
    <font>
      <name val="Aptos"/>
      <color rgb="00000000"/>
    </font>
    <font>
      <name val="Aptos"/>
      <i val="1"/>
      <color rgb="00666666"/>
      <sz val="8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C9D2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164" fontId="2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D4" authorId="0" shapeId="0">
      <text>
        <t>Illustrative value included to support a diligence-style disclosure pack for a fictional company context.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4" authorId="0" shapeId="0">
      <text>
        <t>Illustrative value included to support a diligence-style disclosure pack for a fictional company context.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4" authorId="0" shapeId="0">
      <text>
        <t>Illustrative value included to support a diligence-style disclosure pack for a fictional company context.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D4" authorId="0" shapeId="0">
      <text>
        <t>Illustrative value included to support a diligence-style disclosure pack for a fictional company context.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D4" authorId="0" shapeId="0">
      <text>
        <t>Illustrative value included to support a diligence-style disclosure pack for a fictional company context.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C4" authorId="0" shapeId="0">
      <text>
        <t>Illustrative value included to support a diligence-style disclosure pack for a fictional company context.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8" customWidth="1" min="4" max="4"/>
    <col width="10" customWidth="1" min="5" max="5"/>
  </cols>
  <sheetData>
    <row r="1" ht="24" customHeight="1">
      <c r="A1" s="1" t="inlineStr">
        <is>
          <t>Summary of Related Party Transactions — Aurelia Developments LLC</t>
        </is>
      </c>
    </row>
    <row r="3" ht="28" customHeight="1">
      <c r="A3" s="2" t="inlineStr">
        <is>
          <t>Related Party</t>
        </is>
      </c>
      <c r="B3" s="2" t="inlineStr">
        <is>
          <t>Relationship Type</t>
        </is>
      </c>
      <c r="C3" s="2" t="inlineStr">
        <is>
          <t>Transaction Type</t>
        </is>
      </c>
      <c r="D3" s="2" t="inlineStr">
        <is>
          <t>Financial Value (AED m)</t>
        </is>
      </c>
      <c r="E3" s="2" t="inlineStr">
        <is>
          <t>Year</t>
        </is>
      </c>
    </row>
    <row r="4">
      <c r="A4" s="3" t="inlineStr">
        <is>
          <t>Aurelia Holdings FZ LLC</t>
        </is>
      </c>
      <c r="B4" s="3" t="inlineStr">
        <is>
          <t>Shareholder / owner vehicle</t>
        </is>
      </c>
      <c r="C4" s="3" t="inlineStr">
        <is>
          <t>Working capital support loan</t>
        </is>
      </c>
      <c r="D4" s="4" t="n">
        <v>48</v>
      </c>
      <c r="E4" s="5" t="n">
        <v>2022</v>
      </c>
    </row>
    <row r="5">
      <c r="A5" s="3" t="inlineStr">
        <is>
          <t>Aurelia Holdings FZ LLC</t>
        </is>
      </c>
      <c r="B5" s="3" t="inlineStr">
        <is>
          <t>Shareholder / owner vehicle</t>
        </is>
      </c>
      <c r="C5" s="3" t="inlineStr">
        <is>
          <t>Working capital support loan</t>
        </is>
      </c>
      <c r="D5" s="4" t="n">
        <v>55</v>
      </c>
      <c r="E5" s="5" t="n">
        <v>2023</v>
      </c>
    </row>
    <row r="6">
      <c r="A6" s="3" t="inlineStr">
        <is>
          <t>Aurelia Holdings FZ LLC</t>
        </is>
      </c>
      <c r="B6" s="3" t="inlineStr">
        <is>
          <t>Shareholder / owner vehicle</t>
        </is>
      </c>
      <c r="C6" s="3" t="inlineStr">
        <is>
          <t>Working capital support loan</t>
        </is>
      </c>
      <c r="D6" s="4" t="n">
        <v>42</v>
      </c>
      <c r="E6" s="5" t="n">
        <v>2024</v>
      </c>
    </row>
    <row r="7">
      <c r="A7" s="3" t="inlineStr">
        <is>
          <t>Aurelia Land Bank Holdings Ltd.</t>
        </is>
      </c>
      <c r="B7" s="3" t="inlineStr">
        <is>
          <t>Common-control affiliate</t>
        </is>
      </c>
      <c r="C7" s="3" t="inlineStr">
        <is>
          <t>Deferred land consideration / land access</t>
        </is>
      </c>
      <c r="D7" s="4" t="n">
        <v>30</v>
      </c>
      <c r="E7" s="5" t="n">
        <v>2022</v>
      </c>
    </row>
    <row r="8">
      <c r="A8" s="3" t="inlineStr">
        <is>
          <t>Aurelia Land Bank Holdings Ltd.</t>
        </is>
      </c>
      <c r="B8" s="3" t="inlineStr">
        <is>
          <t>Common-control affiliate</t>
        </is>
      </c>
      <c r="C8" s="3" t="inlineStr">
        <is>
          <t>Deferred land consideration / land access</t>
        </is>
      </c>
      <c r="D8" s="4" t="n">
        <v>27</v>
      </c>
      <c r="E8" s="5" t="n">
        <v>2023</v>
      </c>
    </row>
    <row r="9">
      <c r="A9" s="3" t="inlineStr">
        <is>
          <t>Aurelia Land Bank Holdings Ltd.</t>
        </is>
      </c>
      <c r="B9" s="3" t="inlineStr">
        <is>
          <t>Common-control affiliate</t>
        </is>
      </c>
      <c r="C9" s="3" t="inlineStr">
        <is>
          <t>Deferred land consideration / land access</t>
        </is>
      </c>
      <c r="D9" s="4" t="n">
        <v>35</v>
      </c>
      <c r="E9" s="5" t="n">
        <v>2024</v>
      </c>
    </row>
    <row r="10">
      <c r="A10" s="3" t="inlineStr">
        <is>
          <t>Bluewater Project Services LLC</t>
        </is>
      </c>
      <c r="B10" s="3" t="inlineStr">
        <is>
          <t>Affiliated development entity</t>
        </is>
      </c>
      <c r="C10" s="3" t="inlineStr">
        <is>
          <t>Development management / project services</t>
        </is>
      </c>
      <c r="D10" s="4" t="n">
        <v>10.5</v>
      </c>
      <c r="E10" s="5" t="n">
        <v>2022</v>
      </c>
    </row>
    <row r="11">
      <c r="A11" s="3" t="inlineStr">
        <is>
          <t>Bluewater Project Services LLC</t>
        </is>
      </c>
      <c r="B11" s="3" t="inlineStr">
        <is>
          <t>Affiliated development entity</t>
        </is>
      </c>
      <c r="C11" s="3" t="inlineStr">
        <is>
          <t>Development management / project services</t>
        </is>
      </c>
      <c r="D11" s="4" t="n">
        <v>12</v>
      </c>
      <c r="E11" s="5" t="n">
        <v>2023</v>
      </c>
    </row>
    <row r="12">
      <c r="A12" s="3" t="inlineStr">
        <is>
          <t>Bluewater Project Services LLC</t>
        </is>
      </c>
      <c r="B12" s="3" t="inlineStr">
        <is>
          <t>Affiliated development entity</t>
        </is>
      </c>
      <c r="C12" s="3" t="inlineStr">
        <is>
          <t>Development management / project services</t>
        </is>
      </c>
      <c r="D12" s="4" t="n">
        <v>14</v>
      </c>
      <c r="E12" s="5" t="n">
        <v>2024</v>
      </c>
    </row>
    <row r="13">
      <c r="A13" s="3" t="inlineStr">
        <is>
          <t>Horizon Executive Advisory DMCC</t>
        </is>
      </c>
      <c r="B13" s="3" t="inlineStr">
        <is>
          <t>Director-linked entity</t>
        </is>
      </c>
      <c r="C13" s="3" t="inlineStr">
        <is>
          <t>Advisory / market research</t>
        </is>
      </c>
      <c r="D13" s="4" t="n">
        <v>2.5</v>
      </c>
      <c r="E13" s="5" t="n">
        <v>2022</v>
      </c>
    </row>
    <row r="14">
      <c r="A14" s="6" t="inlineStr">
        <is>
          <t>Illustrative diligence schedule for a fictional company context; amounts shown are examples for documentation purposes.</t>
        </is>
      </c>
      <c r="B14" s="3" t="inlineStr">
        <is>
          <t>Director-linked entity</t>
        </is>
      </c>
      <c r="C14" s="3" t="inlineStr">
        <is>
          <t>Advisory / market research</t>
        </is>
      </c>
      <c r="D14" s="4" t="n">
        <v>3</v>
      </c>
      <c r="E14" s="5" t="n">
        <v>2023</v>
      </c>
    </row>
    <row r="15">
      <c r="A15" s="3" t="inlineStr">
        <is>
          <t>Horizon Executive Advisory DMCC</t>
        </is>
      </c>
      <c r="B15" s="3" t="inlineStr">
        <is>
          <t>Director-linked entity</t>
        </is>
      </c>
      <c r="C15" s="3" t="inlineStr">
        <is>
          <t>Advisory / market research</t>
        </is>
      </c>
      <c r="D15" s="4" t="n">
        <v>3</v>
      </c>
      <c r="E15" s="5" t="n">
        <v>2024</v>
      </c>
    </row>
    <row r="16">
      <c r="A16" s="3" t="inlineStr">
        <is>
          <t>Jumeirah Hospitality Residences JV</t>
        </is>
      </c>
      <c r="B16" s="3" t="inlineStr">
        <is>
          <t>Joint venture</t>
        </is>
      </c>
      <c r="C16" s="3" t="inlineStr">
        <is>
          <t>Management fee / reimbursements</t>
        </is>
      </c>
      <c r="D16" s="4" t="n">
        <v>15</v>
      </c>
      <c r="E16" s="5" t="n">
        <v>2022</v>
      </c>
    </row>
    <row r="17">
      <c r="A17" s="3" t="inlineStr">
        <is>
          <t>Jumeirah Hospitality Residences JV</t>
        </is>
      </c>
      <c r="B17" s="3" t="inlineStr">
        <is>
          <t>Joint venture</t>
        </is>
      </c>
      <c r="C17" s="3" t="inlineStr">
        <is>
          <t>Management fee / reimbursements</t>
        </is>
      </c>
      <c r="D17" s="4" t="n">
        <v>18</v>
      </c>
      <c r="E17" s="5" t="n">
        <v>2023</v>
      </c>
    </row>
    <row r="18">
      <c r="A18" s="3" t="inlineStr">
        <is>
          <t>Jumeirah Hospitality Residences JV</t>
        </is>
      </c>
      <c r="B18" s="3" t="inlineStr">
        <is>
          <t>Joint venture</t>
        </is>
      </c>
      <c r="C18" s="3" t="inlineStr">
        <is>
          <t>Management fee / reimbursements</t>
        </is>
      </c>
      <c r="D18" s="4" t="n">
        <v>24</v>
      </c>
      <c r="E18" s="5" t="n">
        <v>2024</v>
      </c>
    </row>
    <row r="20">
      <c r="A20" s="7" t="inlineStr">
        <is>
          <t>Total three-year value</t>
        </is>
      </c>
      <c r="D20" s="8">
        <f>SUM(D4:D18)</f>
        <v/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4" customWidth="1" min="3" max="3"/>
    <col width="15" customWidth="1" min="4" max="4"/>
    <col width="14" customWidth="1" min="5" max="5"/>
  </cols>
  <sheetData>
    <row r="1" ht="24" customHeight="1">
      <c r="A1" s="1" t="inlineStr">
        <is>
          <t>Transactions with Shareholders</t>
        </is>
      </c>
    </row>
    <row r="3" ht="28" customHeight="1">
      <c r="A3" s="9" t="inlineStr">
        <is>
          <t>Shareholder</t>
        </is>
      </c>
      <c r="B3" s="9" t="inlineStr">
        <is>
          <t>Transaction Type</t>
        </is>
      </c>
      <c r="C3" s="9" t="inlineStr">
        <is>
          <t>Description</t>
        </is>
      </c>
      <c r="D3" s="9" t="inlineStr">
        <is>
          <t>Amount (AED m)</t>
        </is>
      </c>
      <c r="E3" s="9" t="inlineStr">
        <is>
          <t>Date</t>
        </is>
      </c>
    </row>
    <row r="4">
      <c r="A4" s="3" t="inlineStr">
        <is>
          <t>Aurelia Holdings FZ LLC</t>
        </is>
      </c>
      <c r="B4" s="3" t="inlineStr">
        <is>
          <t>Shareholder loan drawdown</t>
        </is>
      </c>
      <c r="C4" s="3" t="inlineStr">
        <is>
          <t>Subordinated funding for project working capital</t>
        </is>
      </c>
      <c r="D4" s="4" t="n">
        <v>28</v>
      </c>
      <c r="E4" s="10" t="inlineStr">
        <is>
          <t>15-Mar-2022</t>
        </is>
      </c>
    </row>
    <row r="5">
      <c r="A5" s="3" t="inlineStr">
        <is>
          <t>Aurelia Holdings FZ LLC</t>
        </is>
      </c>
      <c r="B5" s="3" t="inlineStr">
        <is>
          <t>Shareholder loan repayment</t>
        </is>
      </c>
      <c r="C5" s="3" t="inlineStr">
        <is>
          <t>Partial repayment from completed unit collections</t>
        </is>
      </c>
      <c r="D5" s="4" t="n">
        <v>-12</v>
      </c>
      <c r="E5" s="10" t="inlineStr">
        <is>
          <t>20-Nov-2022</t>
        </is>
      </c>
    </row>
    <row r="6">
      <c r="A6" s="3" t="inlineStr">
        <is>
          <t>Aurelia Land Bank Holdings Ltd.</t>
        </is>
      </c>
      <c r="B6" s="3" t="inlineStr">
        <is>
          <t>Land access fee</t>
        </is>
      </c>
      <c r="C6" s="3" t="inlineStr">
        <is>
          <t>Deferred consideration for master community parcel</t>
        </is>
      </c>
      <c r="D6" s="4" t="n">
        <v>30</v>
      </c>
      <c r="E6" s="10" t="inlineStr">
        <is>
          <t>01-Jul-2022</t>
        </is>
      </c>
    </row>
    <row r="7">
      <c r="A7" s="3" t="inlineStr">
        <is>
          <t>Aurelia Holdings FZ LLC</t>
        </is>
      </c>
      <c r="B7" s="3" t="inlineStr">
        <is>
          <t>Shareholder loan drawdown</t>
        </is>
      </c>
      <c r="C7" s="3" t="inlineStr">
        <is>
          <t>Bridge support for construction cost acceleration</t>
        </is>
      </c>
      <c r="D7" s="4" t="n">
        <v>40</v>
      </c>
      <c r="E7" s="10" t="inlineStr">
        <is>
          <t>18-May-2023</t>
        </is>
      </c>
    </row>
    <row r="8">
      <c r="A8" s="3" t="inlineStr">
        <is>
          <t>Aurelia Holdings FZ LLC</t>
        </is>
      </c>
      <c r="B8" s="3" t="inlineStr">
        <is>
          <t>Interest accrual / settlement</t>
        </is>
      </c>
      <c r="C8" s="3" t="inlineStr">
        <is>
          <t>Funding support finance charge</t>
        </is>
      </c>
      <c r="D8" s="4" t="n">
        <v>6.5</v>
      </c>
      <c r="E8" s="10" t="inlineStr">
        <is>
          <t>31-Dec-2023</t>
        </is>
      </c>
    </row>
    <row r="9">
      <c r="A9" s="3" t="inlineStr">
        <is>
          <t>Aurelia Land Bank Holdings Ltd.</t>
        </is>
      </c>
      <c r="B9" s="3" t="inlineStr">
        <is>
          <t>Land option extension fee</t>
        </is>
      </c>
      <c r="C9" s="3" t="inlineStr">
        <is>
          <t>Extension of phased parcel transfer rights</t>
        </is>
      </c>
      <c r="D9" s="4" t="n">
        <v>12</v>
      </c>
      <c r="E9" s="10" t="inlineStr">
        <is>
          <t>15-Sep-2023</t>
        </is>
      </c>
    </row>
    <row r="10">
      <c r="A10" s="3" t="inlineStr">
        <is>
          <t>Aurelia Holdings FZ LLC</t>
        </is>
      </c>
      <c r="B10" s="3" t="inlineStr">
        <is>
          <t>Shareholder loan repayment</t>
        </is>
      </c>
      <c r="C10" s="3" t="inlineStr">
        <is>
          <t>Settlement funded from refinancing proceeds</t>
        </is>
      </c>
      <c r="D10" s="4" t="n">
        <v>-20</v>
      </c>
      <c r="E10" s="10" t="inlineStr">
        <is>
          <t>22-Feb-2024</t>
        </is>
      </c>
    </row>
    <row r="11">
      <c r="A11" s="3" t="inlineStr">
        <is>
          <t>Aurelia Land Bank Holdings Ltd.</t>
        </is>
      </c>
      <c r="B11" s="3" t="inlineStr">
        <is>
          <t>Land parcel transfer</t>
        </is>
      </c>
      <c r="C11" s="3" t="inlineStr">
        <is>
          <t>Exercise of call option on secondary parcel</t>
        </is>
      </c>
      <c r="D11" s="4" t="n">
        <v>35</v>
      </c>
      <c r="E11" s="10" t="inlineStr">
        <is>
          <t>30-Jun-2024</t>
        </is>
      </c>
    </row>
    <row r="14">
      <c r="A14" s="11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8" customWidth="1" min="3" max="3"/>
    <col width="16" customWidth="1" min="4" max="4"/>
    <col width="10" customWidth="1" min="5" max="5"/>
  </cols>
  <sheetData>
    <row r="1" ht="24" customHeight="1">
      <c r="A1" s="1" t="inlineStr">
        <is>
          <t>Transactions with Directors and Officers</t>
        </is>
      </c>
    </row>
    <row r="3" ht="28" customHeight="1">
      <c r="A3" s="12" t="inlineStr">
        <is>
          <t>Individual / Entity</t>
        </is>
      </c>
      <c r="B3" s="12" t="inlineStr">
        <is>
          <t>Position</t>
        </is>
      </c>
      <c r="C3" s="12" t="inlineStr">
        <is>
          <t>Transaction Type</t>
        </is>
      </c>
      <c r="D3" s="12" t="inlineStr">
        <is>
          <t>Financial Value (AED m)</t>
        </is>
      </c>
      <c r="E3" s="12" t="inlineStr">
        <is>
          <t>Year</t>
        </is>
      </c>
    </row>
    <row r="4">
      <c r="A4" s="3" t="inlineStr">
        <is>
          <t>Horizon Executive Advisory DMCC</t>
        </is>
      </c>
      <c r="B4" s="3" t="inlineStr">
        <is>
          <t>Director-linked entity</t>
        </is>
      </c>
      <c r="C4" s="3" t="inlineStr">
        <is>
          <t>Strategic market advisory and competitor mapping</t>
        </is>
      </c>
      <c r="D4" s="4" t="n">
        <v>2.5</v>
      </c>
      <c r="E4" s="5" t="n">
        <v>2022</v>
      </c>
    </row>
    <row r="5">
      <c r="A5" s="3" t="inlineStr">
        <is>
          <t>Horizon Executive Advisory DMCC</t>
        </is>
      </c>
      <c r="B5" s="3" t="inlineStr">
        <is>
          <t>Director-linked entity</t>
        </is>
      </c>
      <c r="C5" s="3" t="inlineStr">
        <is>
          <t>Brand positioning support for branded residences</t>
        </is>
      </c>
      <c r="D5" s="4" t="n">
        <v>3</v>
      </c>
      <c r="E5" s="5" t="n">
        <v>2023</v>
      </c>
    </row>
    <row r="6">
      <c r="A6" s="3" t="inlineStr">
        <is>
          <t>Horizon Executive Advisory DMCC</t>
        </is>
      </c>
      <c r="B6" s="3" t="inlineStr">
        <is>
          <t>Director-linked entity</t>
        </is>
      </c>
      <c r="C6" s="3" t="inlineStr">
        <is>
          <t>Selective hospitality market study</t>
        </is>
      </c>
      <c r="D6" s="4" t="n">
        <v>3</v>
      </c>
      <c r="E6" s="5" t="n">
        <v>2024</v>
      </c>
    </row>
    <row r="7">
      <c r="A7" s="3" t="inlineStr">
        <is>
          <t>Executive Management Housing LLC</t>
        </is>
      </c>
      <c r="B7" s="3" t="inlineStr">
        <is>
          <t>Officer-linked landlord</t>
        </is>
      </c>
      <c r="C7" s="3" t="inlineStr">
        <is>
          <t>Temporary lease of executive project site office</t>
        </is>
      </c>
      <c r="D7" s="4" t="n">
        <v>1.2</v>
      </c>
      <c r="E7" s="5" t="n">
        <v>2023</v>
      </c>
    </row>
    <row r="8">
      <c r="A8" s="3" t="inlineStr">
        <is>
          <t>Executive Management Housing LLC</t>
        </is>
      </c>
      <c r="B8" s="3" t="inlineStr">
        <is>
          <t>Officer-linked landlord</t>
        </is>
      </c>
      <c r="C8" s="3" t="inlineStr">
        <is>
          <t>Lease extension and reinstatement settlement</t>
        </is>
      </c>
      <c r="D8" s="4" t="n">
        <v>1.8</v>
      </c>
      <c r="E8" s="5" t="n">
        <v>2024</v>
      </c>
    </row>
    <row r="14">
      <c r="A14" s="11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4" customWidth="1" min="3" max="3"/>
    <col width="16" customWidth="1" min="4" max="4"/>
  </cols>
  <sheetData>
    <row r="1" ht="24" customHeight="1">
      <c r="A1" s="1" t="inlineStr">
        <is>
          <t>Intercompany Transactions</t>
        </is>
      </c>
    </row>
    <row r="3" ht="28" customHeight="1">
      <c r="A3" s="2" t="inlineStr">
        <is>
          <t>Entity</t>
        </is>
      </c>
      <c r="B3" s="2" t="inlineStr">
        <is>
          <t>Relationship</t>
        </is>
      </c>
      <c r="C3" s="2" t="inlineStr">
        <is>
          <t>Transaction Type</t>
        </is>
      </c>
      <c r="D3" s="2" t="inlineStr">
        <is>
          <t>Amount (AED m)</t>
        </is>
      </c>
    </row>
    <row r="4">
      <c r="A4" s="3" t="inlineStr">
        <is>
          <t>Bluewater Project Services LLC</t>
        </is>
      </c>
      <c r="B4" s="3" t="inlineStr">
        <is>
          <t>Affiliated development entity</t>
        </is>
      </c>
      <c r="C4" s="3" t="inlineStr">
        <is>
          <t>Development management fee charged to Aurelia</t>
        </is>
      </c>
      <c r="D4" s="4" t="n">
        <v>10.5</v>
      </c>
    </row>
    <row r="5">
      <c r="A5" s="3" t="inlineStr">
        <is>
          <t>Bluewater Project Services LLC</t>
        </is>
      </c>
      <c r="B5" s="3" t="inlineStr">
        <is>
          <t>Affiliated development entity</t>
        </is>
      </c>
      <c r="C5" s="3" t="inlineStr">
        <is>
          <t>Reimbursable project staff costs</t>
        </is>
      </c>
      <c r="D5" s="4" t="n">
        <v>7</v>
      </c>
    </row>
    <row r="6">
      <c r="A6" s="3" t="inlineStr">
        <is>
          <t>Aurelia Procurement Hub FZE</t>
        </is>
      </c>
      <c r="B6" s="3" t="inlineStr">
        <is>
          <t>Common-control service entity</t>
        </is>
      </c>
      <c r="C6" s="3" t="inlineStr">
        <is>
          <t>Centralized procurement recharge</t>
        </is>
      </c>
      <c r="D6" s="4" t="n">
        <v>9.5</v>
      </c>
    </row>
    <row r="7">
      <c r="A7" s="3" t="inlineStr">
        <is>
          <t>Aurelia Shared Services DMCC</t>
        </is>
      </c>
      <c r="B7" s="3" t="inlineStr">
        <is>
          <t>Common-control service entity</t>
        </is>
      </c>
      <c r="C7" s="3" t="inlineStr">
        <is>
          <t>IT and finance shared service allocation</t>
        </is>
      </c>
      <c r="D7" s="4" t="n">
        <v>5.8</v>
      </c>
    </row>
    <row r="8">
      <c r="A8" s="3" t="inlineStr">
        <is>
          <t>Aurelia Sales Operations LLC</t>
        </is>
      </c>
      <c r="B8" s="3" t="inlineStr">
        <is>
          <t>Affiliated commercial entity</t>
        </is>
      </c>
      <c r="C8" s="3" t="inlineStr">
        <is>
          <t>Sales gallery staffing recharge</t>
        </is>
      </c>
      <c r="D8" s="4" t="n">
        <v>4.2</v>
      </c>
    </row>
    <row r="14">
      <c r="A14" s="11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6" customWidth="1" min="4" max="4"/>
    <col width="38" customWidth="1" min="5" max="5"/>
  </cols>
  <sheetData>
    <row r="1" ht="24" customHeight="1">
      <c r="A1" s="1" t="inlineStr">
        <is>
          <t>Joint Venture Transactions</t>
        </is>
      </c>
    </row>
    <row r="3" ht="28" customHeight="1">
      <c r="A3" s="9" t="inlineStr">
        <is>
          <t>JV Partner / Entity</t>
        </is>
      </c>
      <c r="B3" s="9" t="inlineStr">
        <is>
          <t>Project</t>
        </is>
      </c>
      <c r="C3" s="9" t="inlineStr">
        <is>
          <t>Transaction Type</t>
        </is>
      </c>
      <c r="D3" s="9" t="inlineStr">
        <is>
          <t>Financial Value (AED m)</t>
        </is>
      </c>
      <c r="E3" s="9" t="inlineStr">
        <is>
          <t>Comments</t>
        </is>
      </c>
    </row>
    <row r="4">
      <c r="A4" s="3" t="inlineStr">
        <is>
          <t>Jumeirah Hospitality Residences JV</t>
        </is>
      </c>
      <c r="B4" s="3" t="inlineStr">
        <is>
          <t>Branded residences</t>
        </is>
      </c>
      <c r="C4" s="3" t="inlineStr">
        <is>
          <t>Development management fee</t>
        </is>
      </c>
      <c r="D4" s="4" t="n">
        <v>12</v>
      </c>
      <c r="E4" s="3" t="inlineStr">
        <is>
          <t>Annual fee under JV framework agreement</t>
        </is>
      </c>
    </row>
    <row r="5">
      <c r="A5" s="3" t="inlineStr">
        <is>
          <t>Jumeirah Hospitality Residences JV</t>
        </is>
      </c>
      <c r="B5" s="3" t="inlineStr">
        <is>
          <t>Branded residences</t>
        </is>
      </c>
      <c r="C5" s="3" t="inlineStr">
        <is>
          <t>Marketing reimbursement</t>
        </is>
      </c>
      <c r="D5" s="4" t="n">
        <v>4.5</v>
      </c>
      <c r="E5" s="3" t="inlineStr">
        <is>
          <t>Recovery of launch campaign costs</t>
        </is>
      </c>
    </row>
    <row r="6">
      <c r="A6" s="3" t="inlineStr">
        <is>
          <t>Creekside Land Partnership</t>
        </is>
      </c>
      <c r="B6" s="3" t="inlineStr">
        <is>
          <t>Mixed-use waterfront project</t>
        </is>
      </c>
      <c r="C6" s="3" t="inlineStr">
        <is>
          <t>Infrastructure cost sharing</t>
        </is>
      </c>
      <c r="D6" s="4" t="n">
        <v>8</v>
      </c>
      <c r="E6" s="3" t="inlineStr">
        <is>
          <t>Shared utility and access road works</t>
        </is>
      </c>
    </row>
    <row r="7">
      <c r="A7" s="3" t="inlineStr">
        <is>
          <t>Harbor Retail Podium JV</t>
        </is>
      </c>
      <c r="B7" s="3" t="inlineStr">
        <is>
          <t>Retail podium</t>
        </is>
      </c>
      <c r="C7" s="3" t="inlineStr">
        <is>
          <t>Asset management fee</t>
        </is>
      </c>
      <c r="D7" s="4" t="n">
        <v>5.5</v>
      </c>
      <c r="E7" s="3" t="inlineStr">
        <is>
          <t>Recurring oversight fee</t>
        </is>
      </c>
    </row>
    <row r="8">
      <c r="A8" s="3" t="inlineStr">
        <is>
          <t>Lagoon Villas Infrastructure JV</t>
        </is>
      </c>
      <c r="B8" s="3" t="inlineStr">
        <is>
          <t>Villa infrastructure</t>
        </is>
      </c>
      <c r="C8" s="3" t="inlineStr">
        <is>
          <t>Capital support advance</t>
        </is>
      </c>
      <c r="D8" s="4" t="n">
        <v>7</v>
      </c>
      <c r="E8" s="3" t="inlineStr">
        <is>
          <t>Temporary sponsor cure pending partner contribution</t>
        </is>
      </c>
    </row>
    <row r="14">
      <c r="A14" s="11" t="n"/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6" customWidth="1" min="3" max="3"/>
    <col width="10" customWidth="1" min="4" max="4"/>
  </cols>
  <sheetData>
    <row r="1" ht="24" customHeight="1">
      <c r="A1" s="1" t="inlineStr">
        <is>
          <t>Outstanding Balances</t>
        </is>
      </c>
    </row>
    <row r="3" ht="28" customHeight="1">
      <c r="A3" s="12" t="inlineStr">
        <is>
          <t>Related Party</t>
        </is>
      </c>
      <c r="B3" s="12" t="inlineStr">
        <is>
          <t>Receivable / Payable</t>
        </is>
      </c>
      <c r="C3" s="12" t="inlineStr">
        <is>
          <t>Balance (AED m)</t>
        </is>
      </c>
      <c r="D3" s="12" t="inlineStr">
        <is>
          <t>Year</t>
        </is>
      </c>
    </row>
    <row r="4">
      <c r="A4" s="3" t="inlineStr">
        <is>
          <t>Aurelia Holdings FZ LLC</t>
        </is>
      </c>
      <c r="B4" s="3" t="inlineStr">
        <is>
          <t>Payable - shareholder loan</t>
        </is>
      </c>
      <c r="C4" s="4" t="n">
        <v>92</v>
      </c>
      <c r="D4" s="5" t="n">
        <v>2022</v>
      </c>
    </row>
    <row r="5">
      <c r="A5" s="3" t="inlineStr">
        <is>
          <t>Aurelia Land Bank Holdings Ltd.</t>
        </is>
      </c>
      <c r="B5" s="3" t="inlineStr">
        <is>
          <t>Payable - deferred land consideration</t>
        </is>
      </c>
      <c r="C5" s="4" t="n">
        <v>30</v>
      </c>
      <c r="D5" s="5" t="n">
        <v>2022</v>
      </c>
    </row>
    <row r="6">
      <c r="A6" s="3" t="inlineStr">
        <is>
          <t>Bluewater Project Services LLC</t>
        </is>
      </c>
      <c r="B6" s="3" t="inlineStr">
        <is>
          <t>Payable - accrued services</t>
        </is>
      </c>
      <c r="C6" s="4" t="n">
        <v>4.1</v>
      </c>
      <c r="D6" s="5" t="n">
        <v>2022</v>
      </c>
    </row>
    <row r="7">
      <c r="A7" s="3" t="inlineStr">
        <is>
          <t>Aurelia Holdings FZ LLC</t>
        </is>
      </c>
      <c r="B7" s="3" t="inlineStr">
        <is>
          <t>Payable - shareholder loan</t>
        </is>
      </c>
      <c r="C7" s="4" t="n">
        <v>126.5</v>
      </c>
      <c r="D7" s="5" t="n">
        <v>2023</v>
      </c>
    </row>
    <row r="8">
      <c r="A8" s="3" t="inlineStr">
        <is>
          <t>Aurelia Land Bank Holdings Ltd.</t>
        </is>
      </c>
      <c r="B8" s="3" t="inlineStr">
        <is>
          <t>Payable - deferred land consideration</t>
        </is>
      </c>
      <c r="C8" s="4" t="n">
        <v>42</v>
      </c>
      <c r="D8" s="5" t="n">
        <v>2023</v>
      </c>
    </row>
    <row r="9">
      <c r="A9" s="3" t="inlineStr">
        <is>
          <t>Jumeirah Hospitality Residences JV</t>
        </is>
      </c>
      <c r="B9" s="3" t="inlineStr">
        <is>
          <t>Receivable - reimbursement / fees</t>
        </is>
      </c>
      <c r="C9" s="4" t="n">
        <v>9.800000000000001</v>
      </c>
      <c r="D9" s="5" t="n">
        <v>2023</v>
      </c>
    </row>
    <row r="10">
      <c r="A10" s="3" t="inlineStr">
        <is>
          <t>Aurelia Holdings FZ LLC</t>
        </is>
      </c>
      <c r="B10" s="3" t="inlineStr">
        <is>
          <t>Payable - shareholder loan</t>
        </is>
      </c>
      <c r="C10" s="4" t="n">
        <v>110</v>
      </c>
      <c r="D10" s="5" t="n">
        <v>2024</v>
      </c>
    </row>
    <row r="11">
      <c r="A11" s="3" t="inlineStr">
        <is>
          <t>Aurelia Land Bank Holdings Ltd.</t>
        </is>
      </c>
      <c r="B11" s="3" t="inlineStr">
        <is>
          <t>Payable - deferred land consideration</t>
        </is>
      </c>
      <c r="C11" s="4" t="n">
        <v>65</v>
      </c>
      <c r="D11" s="5" t="n">
        <v>2024</v>
      </c>
    </row>
    <row r="12">
      <c r="A12" s="3" t="inlineStr">
        <is>
          <t>Jumeirah Hospitality Residences JV</t>
        </is>
      </c>
      <c r="B12" s="3" t="inlineStr">
        <is>
          <t>Receivable - reimbursement / fees</t>
        </is>
      </c>
      <c r="C12" s="4" t="n">
        <v>13.2</v>
      </c>
      <c r="D12" s="5" t="n">
        <v>2024</v>
      </c>
    </row>
    <row r="14">
      <c r="A14" s="11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14" customWidth="1" min="3" max="3"/>
  </cols>
  <sheetData>
    <row r="1" ht="24" customHeight="1">
      <c r="A1" s="1" t="inlineStr">
        <is>
          <t>Risk Analysis</t>
        </is>
      </c>
    </row>
    <row r="3" ht="28" customHeight="1">
      <c r="A3" s="13" t="inlineStr">
        <is>
          <t>Transaction</t>
        </is>
      </c>
      <c r="B3" s="13" t="inlineStr">
        <is>
          <t>Potential Risk</t>
        </is>
      </c>
      <c r="C3" s="13" t="inlineStr">
        <is>
          <t>Risk Level</t>
        </is>
      </c>
    </row>
    <row r="4">
      <c r="A4" s="3" t="inlineStr">
        <is>
          <t>Shareholder loans</t>
        </is>
      </c>
      <c r="B4" s="3" t="inlineStr">
        <is>
          <t>Debt-like exposure, rollover dependence, change-of-control settlement risk</t>
        </is>
      </c>
      <c r="C4" s="14" t="inlineStr">
        <is>
          <t>High</t>
        </is>
      </c>
    </row>
    <row r="5">
      <c r="A5" s="3" t="inlineStr">
        <is>
          <t>Land transactions with common-control entities</t>
        </is>
      </c>
      <c r="B5" s="3" t="inlineStr">
        <is>
          <t>Pricing fairness and deferred consideration risk</t>
        </is>
      </c>
      <c r="C5" s="14" t="inlineStr">
        <is>
          <t>High</t>
        </is>
      </c>
    </row>
    <row r="6">
      <c r="A6" s="3" t="inlineStr">
        <is>
          <t>Director-linked advisory agreements</t>
        </is>
      </c>
      <c r="B6" s="3" t="inlineStr">
        <is>
          <t>Conflict of interest and benchmarking risk</t>
        </is>
      </c>
      <c r="C6" s="14" t="inlineStr">
        <is>
          <t>Medium-High</t>
        </is>
      </c>
    </row>
    <row r="7">
      <c r="A7" s="3" t="inlineStr">
        <is>
          <t>Intercompany service allocations</t>
        </is>
      </c>
      <c r="B7" s="3" t="inlineStr">
        <is>
          <t>Margin distortion and transfer pricing / recharge support risk</t>
        </is>
      </c>
      <c r="C7" s="15" t="inlineStr">
        <is>
          <t>Medium</t>
        </is>
      </c>
    </row>
    <row r="8">
      <c r="A8" s="3" t="inlineStr">
        <is>
          <t>JV reimbursements and capital advances</t>
        </is>
      </c>
      <c r="B8" s="3" t="inlineStr">
        <is>
          <t>Recoverability and classification risk</t>
        </is>
      </c>
      <c r="C8" s="14" t="inlineStr">
        <is>
          <t>Medium-High</t>
        </is>
      </c>
    </row>
    <row r="9">
      <c r="A9" s="3" t="inlineStr">
        <is>
          <t>Related party leases</t>
        </is>
      </c>
      <c r="B9" s="3" t="inlineStr">
        <is>
          <t>Non-market rental terms and hidden occupancy economics</t>
        </is>
      </c>
      <c r="C9" s="15" t="inlineStr">
        <is>
          <t>Medium</t>
        </is>
      </c>
    </row>
    <row r="14">
      <c r="A14" s="11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2026-03-08T05:26:06Z</dcterms:created>
  <dcterms:modified xmlns:dcterms="http://purl.org/dc/terms/" xmlns:xsi="http://www.w3.org/2001/XMLSchema-instance" xsi:type="dcterms:W3CDTF">2026-03-08T05:26:06Z</dcterms:modified>
</cp:coreProperties>
</file>