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 Revenue Streams Summary" sheetId="1" state="visible" r:id="rId1"/>
    <sheet xmlns:r="http://schemas.openxmlformats.org/officeDocument/2006/relationships" name="2 Off-Plan Sales" sheetId="2" state="visible" r:id="rId2"/>
    <sheet xmlns:r="http://schemas.openxmlformats.org/officeDocument/2006/relationships" name="3 Contract Liabilities" sheetId="3" state="visible" r:id="rId3"/>
    <sheet xmlns:r="http://schemas.openxmlformats.org/officeDocument/2006/relationships" name="4 Leasing Revenue" sheetId="4" state="visible" r:id="rId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#,##0;[Red](#,##0);-"/>
  </numFmts>
  <fonts count="8">
    <font>
      <name val="Calibri"/>
      <family val="2"/>
      <color theme="1"/>
      <sz val="11"/>
      <scheme val="minor"/>
    </font>
    <font>
      <name val="Aptos"/>
      <b val="1"/>
      <color rgb="00FFFFFF"/>
      <sz val="14"/>
    </font>
    <font>
      <name val="Aptos"/>
      <b val="1"/>
      <color rgb="00FFFFFF"/>
    </font>
    <font>
      <name val="Aptos"/>
      <color rgb="000000FF"/>
    </font>
    <font>
      <name val="Aptos"/>
      <color rgb="00000000"/>
    </font>
    <font>
      <name val="Aptos"/>
      <b val="1"/>
    </font>
    <font>
      <name val="Aptos"/>
      <b val="1"/>
      <color rgb="00000000"/>
    </font>
    <font>
      <name val="Aptos"/>
      <color rgb="00008000"/>
    </font>
  </fonts>
  <fills count="4">
    <fill>
      <patternFill/>
    </fill>
    <fill>
      <patternFill patternType="gray125"/>
    </fill>
    <fill>
      <patternFill patternType="solid">
        <fgColor rgb="000B1F3A"/>
      </patternFill>
    </fill>
    <fill>
      <patternFill patternType="solid">
        <fgColor rgb="007F8C8D"/>
      </patternFill>
    </fill>
  </fills>
  <borders count="2">
    <border>
      <left/>
      <right/>
      <top/>
      <bottom/>
      <diagonal/>
    </border>
    <border>
      <top style="medium">
        <color rgb="000B1F3A"/>
      </top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horizontal="left"/>
    </xf>
    <xf numFmtId="0" fontId="2" fillId="3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  <xf numFmtId="3" fontId="3" fillId="0" borderId="0" pivotButton="0" quotePrefix="0" xfId="0"/>
    <xf numFmtId="164" fontId="3" fillId="0" borderId="0" pivotButton="0" quotePrefix="0" xfId="0"/>
    <xf numFmtId="164" fontId="4" fillId="0" borderId="0" pivotButton="0" quotePrefix="0" xfId="0"/>
    <xf numFmtId="0" fontId="5" fillId="0" borderId="0" pivotButton="0" quotePrefix="0" xfId="0"/>
    <xf numFmtId="3" fontId="6" fillId="0" borderId="1" pivotButton="0" quotePrefix="0" xfId="0"/>
    <xf numFmtId="164" fontId="6" fillId="0" borderId="1" pivotButton="0" quotePrefix="0" xfId="0"/>
    <xf numFmtId="164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8" customWidth="1" min="2" max="2"/>
    <col width="22" customWidth="1" min="3" max="3"/>
    <col width="20" customWidth="1" min="4" max="4"/>
    <col width="24" customWidth="1" min="5" max="5"/>
    <col width="26" customWidth="1" min="6" max="6"/>
  </cols>
  <sheetData>
    <row r="1">
      <c r="A1" s="1" t="inlineStr">
        <is>
          <t>Revenue Streams Summary</t>
        </is>
      </c>
    </row>
    <row r="2">
      <c r="A2" s="2" t="inlineStr">
        <is>
          <t>Aurelia Developments LLC | Illustrative support schedules | Amounts in AED'000 unless stated</t>
        </is>
      </c>
    </row>
    <row r="4">
      <c r="A4" s="3" t="inlineStr">
        <is>
          <t>Revenue Type</t>
        </is>
      </c>
      <c r="B4" s="3" t="inlineStr">
        <is>
          <t>Applicable Standard</t>
        </is>
      </c>
      <c r="C4" s="3" t="inlineStr">
        <is>
          <t>Recognition Method</t>
        </is>
      </c>
      <c r="D4" s="3" t="inlineStr">
        <is>
          <t>Timing of Recognition</t>
        </is>
      </c>
      <c r="E4" s="3" t="inlineStr">
        <is>
          <t>Typical Balance Sheet Impact</t>
        </is>
      </c>
      <c r="F4" s="3" t="inlineStr">
        <is>
          <t>Key Judgments</t>
        </is>
      </c>
    </row>
    <row r="5">
      <c r="A5" s="4" t="inlineStr">
        <is>
          <t>Off-plan property sales</t>
        </is>
      </c>
      <c r="B5" s="4" t="inlineStr">
        <is>
          <t>IFRS 15</t>
        </is>
      </c>
      <c r="C5" s="4" t="inlineStr">
        <is>
          <t>Point in time by default; over-time only if IFRS 15.35(c) is demonstrably met</t>
        </is>
      </c>
      <c r="D5" s="4" t="inlineStr">
        <is>
          <t>Generally at handover / transfer of control</t>
        </is>
      </c>
      <c r="E5" s="4" t="inlineStr">
        <is>
          <t>Contract liabilities before handover; receivable at transfer</t>
        </is>
      </c>
      <c r="F5" s="4" t="inlineStr">
        <is>
          <t>Enforceable right to payment; no alternative use; control transfer</t>
        </is>
      </c>
    </row>
    <row r="6">
      <c r="A6" s="4" t="inlineStr">
        <is>
          <t>Completed property sales</t>
        </is>
      </c>
      <c r="B6" s="4" t="inlineStr">
        <is>
          <t>IFRS 15</t>
        </is>
      </c>
      <c r="C6" s="4" t="inlineStr">
        <is>
          <t>Point in time</t>
        </is>
      </c>
      <c r="D6" s="4" t="inlineStr">
        <is>
          <t>At legal / practical transfer of control</t>
        </is>
      </c>
      <c r="E6" s="4" t="inlineStr">
        <is>
          <t>Receivable or cash; derecognition of inventory</t>
        </is>
      </c>
      <c r="F6" s="4" t="inlineStr">
        <is>
          <t>Handover documentation; possession; title / registration steps</t>
        </is>
      </c>
    </row>
    <row r="7">
      <c r="A7" s="4" t="inlineStr">
        <is>
          <t>Development management fees</t>
        </is>
      </c>
      <c r="B7" s="4" t="inlineStr">
        <is>
          <t>IFRS 15</t>
        </is>
      </c>
      <c r="C7" s="4" t="inlineStr">
        <is>
          <t>Over time</t>
        </is>
      </c>
      <c r="D7" s="4" t="inlineStr">
        <is>
          <t>As services are rendered</t>
        </is>
      </c>
      <c r="E7" s="4" t="inlineStr">
        <is>
          <t>Contract asset or receivable</t>
        </is>
      </c>
      <c r="F7" s="4" t="inlineStr">
        <is>
          <t>Measure of progress; variable consideration constraint</t>
        </is>
      </c>
    </row>
    <row r="8">
      <c r="A8" s="4" t="inlineStr">
        <is>
          <t>Joint venture development fees</t>
        </is>
      </c>
      <c r="B8" s="4" t="inlineStr">
        <is>
          <t>IFRS 15 / IFRS 11 / IAS 28</t>
        </is>
      </c>
      <c r="C8" s="4" t="inlineStr">
        <is>
          <t>Depends on substance; service fees under IFRS 15, equity returns outside revenue</t>
        </is>
      </c>
      <c r="D8" s="4" t="inlineStr">
        <is>
          <t>Over time or at milestone depending service</t>
        </is>
      </c>
      <c r="E8" s="4" t="inlineStr">
        <is>
          <t>Receivable or contract asset</t>
        </is>
      </c>
      <c r="F8" s="4" t="inlineStr">
        <is>
          <t>Whether fee is substantive service income or equity return</t>
        </is>
      </c>
    </row>
    <row r="9">
      <c r="A9" s="4" t="inlineStr">
        <is>
          <t>Commercial leasing income</t>
        </is>
      </c>
      <c r="B9" s="4" t="inlineStr">
        <is>
          <t>IFRS 16 / IAS 40</t>
        </is>
      </c>
      <c r="C9" s="4" t="inlineStr">
        <is>
          <t>Straight-line for operating lease income</t>
        </is>
      </c>
      <c r="D9" s="4" t="inlineStr">
        <is>
          <t>Over lease term</t>
        </is>
      </c>
      <c r="E9" s="4" t="inlineStr">
        <is>
          <t>Lease receivable / deferred straight-line balance</t>
        </is>
      </c>
      <c r="F9" s="4" t="inlineStr">
        <is>
          <t>Lease incentives; rent-free periods; variable rent</t>
        </is>
      </c>
    </row>
    <row r="10">
      <c r="A10" s="4" t="inlineStr">
        <is>
          <t>Hospitality partnership income</t>
        </is>
      </c>
      <c r="B10" s="4" t="inlineStr">
        <is>
          <t>IFRS 15 or IFRS 16 depending arrangement</t>
        </is>
      </c>
      <c r="C10" s="4" t="inlineStr">
        <is>
          <t>Service-based over time or principal/agent assessment</t>
        </is>
      </c>
      <c r="D10" s="4" t="inlineStr">
        <is>
          <t>As services rendered or lease term</t>
        </is>
      </c>
      <c r="E10" s="4" t="inlineStr">
        <is>
          <t>Receivable / accrued income</t>
        </is>
      </c>
      <c r="F10" s="4" t="inlineStr">
        <is>
          <t>Principal vs agent; variable consideration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1" customWidth="1" min="2" max="2"/>
    <col width="16" customWidth="1" min="3" max="3"/>
    <col width="16" customWidth="1" min="4" max="4"/>
    <col width="16" customWidth="1" min="5" max="5"/>
    <col width="14" customWidth="1" min="6" max="6"/>
    <col width="16" customWidth="1" min="7" max="7"/>
    <col width="16" customWidth="1" min="8" max="8"/>
    <col width="14" customWidth="1" min="9" max="9"/>
    <col width="28" customWidth="1" min="10" max="10"/>
  </cols>
  <sheetData>
    <row r="1">
      <c r="A1" s="1" t="inlineStr">
        <is>
          <t>Off-Plan Sales Revenue Schedule</t>
        </is>
      </c>
    </row>
    <row r="2">
      <c r="A2" s="2" t="inlineStr">
        <is>
          <t>Illustrative contract activity and deferred revenue rollforward</t>
        </is>
      </c>
    </row>
    <row r="4">
      <c r="A4" s="3" t="inlineStr">
        <is>
          <t>Project</t>
        </is>
      </c>
      <c r="B4" s="3" t="inlineStr">
        <is>
          <t>Units Sold</t>
        </is>
      </c>
      <c r="C4" s="3" t="inlineStr">
        <is>
          <t>Average Price / Unit</t>
        </is>
      </c>
      <c r="D4" s="3" t="inlineStr">
        <is>
          <t>Contract Value</t>
        </is>
      </c>
      <c r="E4" s="3" t="inlineStr">
        <is>
          <t>Customer Deposits</t>
        </is>
      </c>
      <c r="F4" s="3" t="inlineStr">
        <is>
          <t>Units Handed Over</t>
        </is>
      </c>
      <c r="G4" s="3" t="inlineStr">
        <is>
          <t>Revenue Recognized</t>
        </is>
      </c>
      <c r="H4" s="3" t="inlineStr">
        <is>
          <t>Deferred Revenue</t>
        </is>
      </c>
      <c r="I4" s="3" t="inlineStr">
        <is>
          <t>Recognition Basis</t>
        </is>
      </c>
      <c r="J4" s="3" t="inlineStr">
        <is>
          <t>Comments</t>
        </is>
      </c>
    </row>
    <row r="5">
      <c r="A5" t="inlineStr">
        <is>
          <t>Marina Residences Tower</t>
        </is>
      </c>
      <c r="B5" s="5" t="n">
        <v>84</v>
      </c>
      <c r="C5" s="6" t="n">
        <v>6200</v>
      </c>
      <c r="D5" s="7">
        <f>B5*C5</f>
        <v/>
      </c>
      <c r="E5" s="7">
        <f>D5*0.3</f>
        <v/>
      </c>
      <c r="F5" s="5" t="n">
        <v>18</v>
      </c>
      <c r="G5" s="7">
        <f>C5*F5</f>
        <v/>
      </c>
      <c r="H5" s="7">
        <f>D5-G5</f>
        <v/>
      </c>
      <c r="I5" t="inlineStr">
        <is>
          <t>Point in time</t>
        </is>
      </c>
      <c r="J5" t="inlineStr">
        <is>
          <t>Standard SPA; point-in-time recognition at handover</t>
        </is>
      </c>
    </row>
    <row r="6">
      <c r="A6" t="inlineStr">
        <is>
          <t>Palm Waterfront Villas</t>
        </is>
      </c>
      <c r="B6" s="5" t="n">
        <v>16</v>
      </c>
      <c r="C6" s="6" t="n">
        <v>22000</v>
      </c>
      <c r="D6" s="7">
        <f>B6*C6</f>
        <v/>
      </c>
      <c r="E6" s="7">
        <f>D6*0.25</f>
        <v/>
      </c>
      <c r="F6" s="5" t="n">
        <v>7</v>
      </c>
      <c r="G6" s="7">
        <f>C6*F6</f>
        <v/>
      </c>
      <c r="H6" s="7">
        <f>D6-G6</f>
        <v/>
      </c>
      <c r="I6" t="inlineStr">
        <is>
          <t>Point in time</t>
        </is>
      </c>
      <c r="J6" t="inlineStr">
        <is>
          <t>Selective handovers in year</t>
        </is>
      </c>
    </row>
    <row r="7">
      <c r="A7" t="inlineStr">
        <is>
          <t>Downtown Mixed-Use Development</t>
        </is>
      </c>
      <c r="B7" s="5" t="n">
        <v>68</v>
      </c>
      <c r="C7" s="6" t="n">
        <v>4950</v>
      </c>
      <c r="D7" s="7">
        <f>B7*C7</f>
        <v/>
      </c>
      <c r="E7" s="7">
        <f>D7*0.35</f>
        <v/>
      </c>
      <c r="F7" s="5" t="n">
        <v>15</v>
      </c>
      <c r="G7" s="7">
        <f>C7*F7</f>
        <v/>
      </c>
      <c r="H7" s="7">
        <f>D7-G7</f>
        <v/>
      </c>
      <c r="I7" t="inlineStr">
        <is>
          <t>Point in time</t>
        </is>
      </c>
      <c r="J7" t="inlineStr">
        <is>
          <t>Majority remains pre-handover</t>
        </is>
      </c>
    </row>
    <row r="8">
      <c r="A8" t="inlineStr">
        <is>
          <t>Jumeirah Branded Residences</t>
        </is>
      </c>
      <c r="B8" s="5" t="n">
        <v>44</v>
      </c>
      <c r="C8" s="6" t="n">
        <v>8700</v>
      </c>
      <c r="D8" s="7">
        <f>B8*C8</f>
        <v/>
      </c>
      <c r="E8" s="7">
        <f>D8*0.28</f>
        <v/>
      </c>
      <c r="F8" s="5" t="n">
        <v>12</v>
      </c>
      <c r="G8" s="7">
        <f>C8*F8</f>
        <v/>
      </c>
      <c r="H8" s="7">
        <f>D8-G8</f>
        <v/>
      </c>
      <c r="I8" t="inlineStr">
        <is>
          <t>Point in time</t>
        </is>
      </c>
      <c r="J8" t="inlineStr">
        <is>
          <t>Branded product with staged collections</t>
        </is>
      </c>
    </row>
    <row r="9">
      <c r="A9" s="8" t="inlineStr">
        <is>
          <t>Total</t>
        </is>
      </c>
      <c r="B9" s="9">
        <f>SUM(B5:B8)</f>
        <v/>
      </c>
      <c r="D9" s="10">
        <f>SUM(D5:D8)</f>
        <v/>
      </c>
      <c r="E9" s="10">
        <f>SUM(E5:E8)</f>
        <v/>
      </c>
      <c r="F9" s="9">
        <f>SUM(F5:F8)</f>
        <v/>
      </c>
      <c r="G9" s="10">
        <f>SUM(G5:G8)</f>
        <v/>
      </c>
      <c r="H9" s="10">
        <f>SUM(H5:H8)</f>
        <v/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28" customWidth="1" min="8" max="8"/>
  </cols>
  <sheetData>
    <row r="1">
      <c r="A1" s="1" t="inlineStr">
        <is>
          <t>Contract Liabilities Schedule</t>
        </is>
      </c>
    </row>
    <row r="2">
      <c r="A2" s="2" t="inlineStr">
        <is>
          <t>Illustrative customer deposits and deferred revenue rollforward</t>
        </is>
      </c>
    </row>
    <row r="4">
      <c r="A4" s="3" t="inlineStr">
        <is>
          <t>Project</t>
        </is>
      </c>
      <c r="B4" s="3" t="inlineStr">
        <is>
          <t>Opening Customer Deposits</t>
        </is>
      </c>
      <c r="C4" s="3" t="inlineStr">
        <is>
          <t>Current-Year Deposits</t>
        </is>
      </c>
      <c r="D4" s="3" t="inlineStr">
        <is>
          <t>Revenue Recognized</t>
        </is>
      </c>
      <c r="E4" s="3" t="inlineStr">
        <is>
          <t>Refunds / Cancellations</t>
        </is>
      </c>
      <c r="F4" s="3" t="inlineStr">
        <is>
          <t>Remaining Liability</t>
        </is>
      </c>
      <c r="G4" s="3" t="inlineStr">
        <is>
          <t>Escrow Balance Proxy</t>
        </is>
      </c>
      <c r="H4" s="3" t="inlineStr">
        <is>
          <t>Notes</t>
        </is>
      </c>
    </row>
    <row r="5">
      <c r="A5" t="inlineStr">
        <is>
          <t>Marina Residences Tower</t>
        </is>
      </c>
      <c r="B5" s="6" t="n">
        <v>52000</v>
      </c>
      <c r="C5" s="11">
        <f>'2 Off-Plan Sales'!E5</f>
        <v/>
      </c>
      <c r="D5" s="11">
        <f>'2 Off-Plan Sales'!G5</f>
        <v/>
      </c>
      <c r="E5" s="6" t="n">
        <v>2500</v>
      </c>
      <c r="F5" s="7">
        <f>B5+C5-D5-E5</f>
        <v/>
      </c>
      <c r="G5" s="7">
        <f>MAX(0,C5*0.85)</f>
        <v/>
      </c>
      <c r="H5" t="inlineStr">
        <is>
          <t>Contract liability until transfer of control</t>
        </is>
      </c>
    </row>
    <row r="6">
      <c r="A6" t="inlineStr">
        <is>
          <t>Palm Waterfront Villas</t>
        </is>
      </c>
      <c r="B6" s="6" t="n">
        <v>64000</v>
      </c>
      <c r="C6" s="11">
        <f>'2 Off-Plan Sales'!E6</f>
        <v/>
      </c>
      <c r="D6" s="11">
        <f>'2 Off-Plan Sales'!G6</f>
        <v/>
      </c>
      <c r="E6" s="6" t="n">
        <v>1200</v>
      </c>
      <c r="F6" s="7">
        <f>B6+C6-D6-E6</f>
        <v/>
      </c>
      <c r="G6" s="7">
        <f>MAX(0,C6*0.85)</f>
        <v/>
      </c>
      <c r="H6" t="inlineStr">
        <is>
          <t>Contract liability until transfer of control</t>
        </is>
      </c>
    </row>
    <row r="7">
      <c r="A7" t="inlineStr">
        <is>
          <t>Downtown Mixed-Use Development</t>
        </is>
      </c>
      <c r="B7" s="6" t="n">
        <v>48000</v>
      </c>
      <c r="C7" s="11">
        <f>'2 Off-Plan Sales'!E7</f>
        <v/>
      </c>
      <c r="D7" s="11">
        <f>'2 Off-Plan Sales'!G7</f>
        <v/>
      </c>
      <c r="E7" s="6" t="n">
        <v>1800</v>
      </c>
      <c r="F7" s="7">
        <f>B7+C7-D7-E7</f>
        <v/>
      </c>
      <c r="G7" s="7">
        <f>MAX(0,C7*0.85)</f>
        <v/>
      </c>
      <c r="H7" t="inlineStr">
        <is>
          <t>Contract liability until transfer of control</t>
        </is>
      </c>
    </row>
    <row r="8">
      <c r="A8" t="inlineStr">
        <is>
          <t>Jumeirah Branded Residences</t>
        </is>
      </c>
      <c r="B8" s="6" t="n">
        <v>71000</v>
      </c>
      <c r="C8" s="11">
        <f>'2 Off-Plan Sales'!E8</f>
        <v/>
      </c>
      <c r="D8" s="11">
        <f>'2 Off-Plan Sales'!G8</f>
        <v/>
      </c>
      <c r="E8" s="6" t="n">
        <v>2200</v>
      </c>
      <c r="F8" s="7">
        <f>B8+C8-D8-E8</f>
        <v/>
      </c>
      <c r="G8" s="7">
        <f>MAX(0,C8*0.85)</f>
        <v/>
      </c>
      <c r="H8" t="inlineStr">
        <is>
          <t>Contract liability until transfer of control</t>
        </is>
      </c>
    </row>
    <row r="9">
      <c r="A9" s="8" t="inlineStr">
        <is>
          <t>Total</t>
        </is>
      </c>
      <c r="B9" s="10">
        <f>SUM(B5:B8)</f>
        <v/>
      </c>
      <c r="C9" s="10">
        <f>SUM(C5:C8)</f>
        <v/>
      </c>
      <c r="D9" s="10">
        <f>SUM(D5:D8)</f>
        <v/>
      </c>
      <c r="E9" s="10">
        <f>SUM(E5:E8)</f>
        <v/>
      </c>
      <c r="F9" s="10">
        <f>SUM(F5:F8)</f>
        <v/>
      </c>
      <c r="G9" s="10">
        <f>SUM(G5:G8)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4" customWidth="1" min="3" max="3"/>
    <col width="14" customWidth="1" min="4" max="4"/>
    <col width="18" customWidth="1" min="5" max="5"/>
    <col width="18" customWidth="1" min="6" max="6"/>
    <col width="14" customWidth="1" min="7" max="7"/>
    <col width="16" customWidth="1" min="8" max="8"/>
    <col width="30" customWidth="1" min="9" max="9"/>
  </cols>
  <sheetData>
    <row r="1">
      <c r="A1" s="1" t="inlineStr">
        <is>
          <t>Leasing Revenue Schedule</t>
        </is>
      </c>
    </row>
    <row r="2">
      <c r="A2" s="2" t="inlineStr">
        <is>
          <t>Illustrative operating lease income recognized on a straight-line basis</t>
        </is>
      </c>
    </row>
    <row r="4">
      <c r="A4" s="3" t="inlineStr">
        <is>
          <t>Property</t>
        </is>
      </c>
      <c r="B4" s="3" t="inlineStr">
        <is>
          <t>Lease Term</t>
        </is>
      </c>
      <c r="C4" s="3" t="inlineStr">
        <is>
          <t>Annual Rent</t>
        </is>
      </c>
      <c r="D4" s="3" t="inlineStr">
        <is>
          <t>Free Rent Months</t>
        </is>
      </c>
      <c r="E4" s="3" t="inlineStr">
        <is>
          <t>Straight-Line Annual Revenue</t>
        </is>
      </c>
      <c r="F4" s="3" t="inlineStr">
        <is>
          <t>Monthly Recognized Revenue</t>
        </is>
      </c>
      <c r="G4" s="3" t="inlineStr">
        <is>
          <t>Cash Rent in Year</t>
        </is>
      </c>
      <c r="H4" s="3" t="inlineStr">
        <is>
          <t>Recognition Method</t>
        </is>
      </c>
      <c r="I4" s="3" t="inlineStr">
        <is>
          <t>Comments</t>
        </is>
      </c>
    </row>
    <row r="5">
      <c r="A5" t="inlineStr">
        <is>
          <t>Marina Retail Podium</t>
        </is>
      </c>
      <c r="B5" t="inlineStr">
        <is>
          <t>5 years</t>
        </is>
      </c>
      <c r="C5" s="6" t="n">
        <v>18500</v>
      </c>
      <c r="D5" s="5" t="n">
        <v>2</v>
      </c>
      <c r="E5" s="7">
        <f>C5</f>
        <v/>
      </c>
      <c r="F5" s="7">
        <f>E5/12</f>
        <v/>
      </c>
      <c r="G5" s="7">
        <f>C5*(12-D5)/12</f>
        <v/>
      </c>
      <c r="H5" t="inlineStr">
        <is>
          <t>Straight-line</t>
        </is>
      </c>
      <c r="I5" t="inlineStr">
        <is>
          <t>Lease income outside IFRS 15; recognized over lease term</t>
        </is>
      </c>
    </row>
    <row r="6">
      <c r="A6" t="inlineStr">
        <is>
          <t>Palm Clubhouse Retail</t>
        </is>
      </c>
      <c r="B6" t="inlineStr">
        <is>
          <t>3 years</t>
        </is>
      </c>
      <c r="C6" s="6" t="n">
        <v>9200</v>
      </c>
      <c r="D6" s="5" t="n">
        <v>1</v>
      </c>
      <c r="E6" s="7">
        <f>C6</f>
        <v/>
      </c>
      <c r="F6" s="7">
        <f>E6/12</f>
        <v/>
      </c>
      <c r="G6" s="7">
        <f>C6*(12-D6)/12</f>
        <v/>
      </c>
      <c r="H6" t="inlineStr">
        <is>
          <t>Straight-line</t>
        </is>
      </c>
      <c r="I6" t="inlineStr">
        <is>
          <t>Lease income outside IFRS 15; recognized over lease term</t>
        </is>
      </c>
    </row>
    <row r="7">
      <c r="A7" t="inlineStr">
        <is>
          <t>Downtown F&amp;B Boulevard</t>
        </is>
      </c>
      <c r="B7" t="inlineStr">
        <is>
          <t>7 years</t>
        </is>
      </c>
      <c r="C7" s="6" t="n">
        <v>14200</v>
      </c>
      <c r="D7" s="5" t="n">
        <v>3</v>
      </c>
      <c r="E7" s="7">
        <f>C7</f>
        <v/>
      </c>
      <c r="F7" s="7">
        <f>E7/12</f>
        <v/>
      </c>
      <c r="G7" s="7">
        <f>C7*(12-D7)/12</f>
        <v/>
      </c>
      <c r="H7" t="inlineStr">
        <is>
          <t>Straight-line</t>
        </is>
      </c>
      <c r="I7" t="inlineStr">
        <is>
          <t>Lease income outside IFRS 15; recognized over lease term</t>
        </is>
      </c>
    </row>
    <row r="8">
      <c r="A8" t="inlineStr">
        <is>
          <t>Jumeirah Hospitality Arcade</t>
        </is>
      </c>
      <c r="B8" t="inlineStr">
        <is>
          <t>4 years</t>
        </is>
      </c>
      <c r="C8" s="6" t="n">
        <v>11600</v>
      </c>
      <c r="D8" s="5" t="n">
        <v>2</v>
      </c>
      <c r="E8" s="7">
        <f>C8</f>
        <v/>
      </c>
      <c r="F8" s="7">
        <f>E8/12</f>
        <v/>
      </c>
      <c r="G8" s="7">
        <f>C8*(12-D8)/12</f>
        <v/>
      </c>
      <c r="H8" t="inlineStr">
        <is>
          <t>Straight-line</t>
        </is>
      </c>
      <c r="I8" t="inlineStr">
        <is>
          <t>Lease income outside IFRS 15; recognized over lease term</t>
        </is>
      </c>
    </row>
    <row r="9">
      <c r="A9" s="8" t="inlineStr">
        <is>
          <t>Total</t>
        </is>
      </c>
      <c r="C9" s="10">
        <f>SUM(C5:C8)</f>
        <v/>
      </c>
      <c r="E9" s="10">
        <f>SUM(E5:E8)</f>
        <v/>
      </c>
      <c r="F9" s="10">
        <f>SUM(F5:F8)</f>
        <v/>
      </c>
      <c r="G9" s="10">
        <f>SUM(G5:G8)</f>
        <v/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2026-03-08T04:46:03Z</dcterms:created>
  <dcterms:modified xmlns:dcterms="http://purl.org/dc/terms/" xmlns:xsi="http://www.w3.org/2001/XMLSchema-instance" xsi:type="dcterms:W3CDTF">2026-03-08T04:46:03Z</dcterms:modified>
</cp:coreProperties>
</file>